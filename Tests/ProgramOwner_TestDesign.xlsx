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estCases" sheetId="2" state="visible" r:id="rId4"/>
    <sheet name="BVA" sheetId="3" state="visible" r:id="rId5"/>
    <sheet name="ECT" sheetId="4" state="visible" r:id="rId6"/>
    <sheet name="BasisPath" sheetId="5" state="visible" r:id="rId7"/>
    <sheet name="Defects" sheetId="6" state="visible" r:id="rId8"/>
    <sheet name="Selenium" sheetId="7" state="visible" r:id="rId9"/>
  </sheets>
  <definedNames>
    <definedName function="false" hidden="true" localSheetId="5" name="_xlnm._FilterDatabase" vbProcedure="false">Defects!$A$3:$M$35</definedName>
    <definedName function="false" hidden="true" localSheetId="1" name="_xlnm._FilterDatabase" vbProcedure="false">TestCases!$A$3:$O$63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<sst xmlns="http://schemas.openxmlformats.org/spreadsheetml/2006/main" count="2089" uniqueCount="1018">
  <si>
    <t xml:space="preserve">ProgramOwnerController — STQAL test deliverables</t>
  </si>
  <si>
    <t xml:space="preserve">Test cases</t>
  </si>
  <si>
    <t xml:space="preserve">Technique</t>
  </si>
  <si>
    <t xml:space="preserve">Cases</t>
  </si>
  <si>
    <t xml:space="preserve">Pass</t>
  </si>
  <si>
    <t xml:space="preserve">Fail</t>
  </si>
  <si>
    <t xml:space="preserve">Blocked</t>
  </si>
  <si>
    <t xml:space="preserve">Not run</t>
  </si>
  <si>
    <t xml:space="preserve">BVA</t>
  </si>
  <si>
    <t xml:space="preserve">ECT</t>
  </si>
  <si>
    <t xml:space="preserve">Basis path</t>
  </si>
  <si>
    <t xml:space="preserve">Total</t>
  </si>
  <si>
    <t xml:space="preserve">Defects by severity</t>
  </si>
  <si>
    <t xml:space="preserve">Severity</t>
  </si>
  <si>
    <t xml:space="preserve">Count</t>
  </si>
  <si>
    <t xml:space="preserve">Critical</t>
  </si>
  <si>
    <t xml:space="preserve">High</t>
  </si>
  <si>
    <t xml:space="preserve">Medium</t>
  </si>
  <si>
    <t xml:space="preserve">Low</t>
  </si>
  <si>
    <t xml:space="preserve">Basis path coverage</t>
  </si>
  <si>
    <t xml:space="preserve">Functions analysed</t>
  </si>
  <si>
    <t xml:space="preserve">Independent paths (sum of V(G))</t>
  </si>
  <si>
    <t xml:space="preserve">Functions where paths listed = V(G)</t>
  </si>
  <si>
    <t xml:space="preserve">How to use</t>
  </si>
  <si>
    <t xml:space="preserve">1. Run: dotnet test Tests/AmarTools.Voting.Tests.csproj   (all tests)   |   --filter "Category=Defect"   (defect-confirming tests only).</t>
  </si>
  <si>
    <t xml:space="preserve">2. TestCases results are filled from the latest runs (nondefect-output.txt, defect-output.txt, selenium-output.txt). Re-run and update the yellow cells if the code changes.</t>
  </si>
  <si>
    <t xml:space="preserve">3. 'Predicted result' comes from reading the code, not from a test run. A predicted Fail that really fails becomes a confirmed defect: set Defects!L (Status) to Confirmed and M to Yes.</t>
  </si>
  <si>
    <t xml:space="preserve">4. Test IDs of the form PO-0xx refer to the existing suite in ProgramOwnerControllerTests.cs; other names are methods in ProgramOwnerBoundaryDefectTests.cs or ProgramOwnerSeleniumFlowTests.cs.</t>
  </si>
  <si>
    <t xml:space="preserve">5. Decision-point counts on BasisPath (blue) are the author's reading of the code; if the controller changes, update them and the path list.</t>
  </si>
  <si>
    <t xml:space="preserve">Test runs (from the output files)</t>
  </si>
  <si>
    <t xml:space="preserve">Run</t>
  </si>
  <si>
    <t xml:space="preserve">Passed</t>
  </si>
  <si>
    <t xml:space="preserve">Failed</t>
  </si>
  <si>
    <t xml:space="preserve">Skipped</t>
  </si>
  <si>
    <t xml:space="preserve">Evidence file</t>
  </si>
  <si>
    <t xml:space="preserve">Non-defect (Category!=Defect)</t>
  </si>
  <si>
    <t xml:space="preserve">nondefect-output.txt</t>
  </si>
  <si>
    <t xml:space="preserve">Defect (Category=Defect)</t>
  </si>
  <si>
    <t xml:space="preserve">defect-output.txt</t>
  </si>
  <si>
    <t xml:space="preserve">Selenium flows (subset of the two runs)</t>
  </si>
  <si>
    <t xml:space="preserve">selenium-output.txt</t>
  </si>
  <si>
    <t xml:space="preserve">Combined (non-defect + defect)</t>
  </si>
  <si>
    <t xml:space="preserve">ProgramOwnerController — test case design and execution (60 cases)</t>
  </si>
  <si>
    <t xml:space="preserve">TC ID</t>
  </si>
  <si>
    <t xml:space="preserve">Function / module</t>
  </si>
  <si>
    <t xml:space="preserve">Priority</t>
  </si>
  <si>
    <t xml:space="preserve">Preconditions</t>
  </si>
  <si>
    <t xml:space="preserve">Test data</t>
  </si>
  <si>
    <t xml:space="preserve">Steps</t>
  </si>
  <si>
    <t xml:space="preserve">Expected result</t>
  </si>
  <si>
    <t xml:space="preserve">Predicted result (code reading)</t>
  </si>
  <si>
    <t xml:space="preserve">Automated test</t>
  </si>
  <si>
    <t xml:space="preserve">Defect ID</t>
  </si>
  <si>
    <t xml:space="preserve">Actual result</t>
  </si>
  <si>
    <t xml:space="preserve">Status</t>
  </si>
  <si>
    <t xml:space="preserve">Executed on</t>
  </si>
  <si>
    <t xml:space="preserve">Executed by</t>
  </si>
  <si>
    <t xml:space="preserve">BVA-01</t>
  </si>
  <si>
    <t xml:space="preserve">Create/Edit (service)</t>
  </si>
  <si>
    <t xml:space="preserve">Logged in as owner</t>
  </si>
  <si>
    <t xml:space="preserve">Start +1h, End = Start + 299 s</t>
  </si>
  <si>
    <t xml:space="preserve">Submit create form</t>
  </si>
  <si>
    <t xml:space="preserve">Rejected: end must be at least 5 minutes after start</t>
  </si>
  <si>
    <t xml:space="preserve">ProgramDuration_AtBoundary_IsEnforced(299,false)</t>
  </si>
  <si>
    <t xml:space="preserve">As expected; test passed.</t>
  </si>
  <si>
    <t xml:space="preserve">2026-10-09</t>
  </si>
  <si>
    <t xml:space="preserve">Binoy Dev</t>
  </si>
  <si>
    <t xml:space="preserve">BVA-02</t>
  </si>
  <si>
    <t xml:space="preserve">End = Start + 300 s</t>
  </si>
  <si>
    <t xml:space="preserve">Accepted</t>
  </si>
  <si>
    <t xml:space="preserve">ProgramDuration_AtBoundary_IsEnforced(300,true)</t>
  </si>
  <si>
    <t xml:space="preserve">BVA-03</t>
  </si>
  <si>
    <t xml:space="preserve">End = Start + 301 s</t>
  </si>
  <si>
    <t xml:space="preserve">ProgramDuration_AtBoundary_IsEnforced(301,true)</t>
  </si>
  <si>
    <t xml:space="preserve">BVA-04</t>
  </si>
  <si>
    <t xml:space="preserve">Create POST</t>
  </si>
  <si>
    <t xml:space="preserve">Model validation</t>
  </si>
  <si>
    <t xml:space="preserve">ProgramName length 2</t>
  </si>
  <si>
    <t xml:space="preserve">Validate model</t>
  </si>
  <si>
    <t xml:space="preserve">Validation error (min 3)</t>
  </si>
  <si>
    <t xml:space="preserve">ProgramName_LengthBoundary_MatchesModelRule(2,false)</t>
  </si>
  <si>
    <t xml:space="preserve">BVA-05</t>
  </si>
  <si>
    <t xml:space="preserve">ProgramName length 3</t>
  </si>
  <si>
    <t xml:space="preserve">Valid</t>
  </si>
  <si>
    <t xml:space="preserve">ProgramName_LengthBoundary_MatchesModelRule(3,true)</t>
  </si>
  <si>
    <t xml:space="preserve">BVA-06</t>
  </si>
  <si>
    <t xml:space="preserve">ProgramName length 200</t>
  </si>
  <si>
    <t xml:space="preserve">ProgramName_LengthBoundary_MatchesModelRule(200,true)</t>
  </si>
  <si>
    <t xml:space="preserve">BVA-07</t>
  </si>
  <si>
    <t xml:space="preserve">ProgramName length 201</t>
  </si>
  <si>
    <t xml:space="preserve">Validation error (max 200)</t>
  </si>
  <si>
    <t xml:space="preserve">ProgramName_LengthBoundary_MatchesModelRule(201,false)</t>
  </si>
  <si>
    <t xml:space="preserve">BVA-08</t>
  </si>
  <si>
    <t xml:space="preserve">Description 2000 / 2001 chars</t>
  </si>
  <si>
    <t xml:space="preserve">2000 valid, 2001 error</t>
  </si>
  <si>
    <t xml:space="preserve">ProgramDescription_LengthBoundary_MatchesModelRule</t>
  </si>
  <si>
    <t xml:space="preserve">BVA-09</t>
  </si>
  <si>
    <t xml:space="preserve">AddCandidate</t>
  </si>
  <si>
    <t xml:space="preserve">Upcoming program, owner</t>
  </si>
  <si>
    <t xml:space="preserve">name = 'A' (1 char), code C1</t>
  </si>
  <si>
    <t xml:space="preserve">POST AddCandidate</t>
  </si>
  <si>
    <t xml:space="preserve">Rejected (min 2)</t>
  </si>
  <si>
    <t xml:space="preserve">D07_AddCandidate_SingleCharacterName_IsRejected</t>
  </si>
  <si>
    <t xml:space="preserve">D07</t>
  </si>
  <si>
    <t xml:space="preserve">Rejected after the fix; defect D07 is fixed and the regression test passes.</t>
  </si>
  <si>
    <t xml:space="preserve">BVA-10</t>
  </si>
  <si>
    <t xml:space="preserve">name 2 chars, code 1 char</t>
  </si>
  <si>
    <t xml:space="preserve">Saved</t>
  </si>
  <si>
    <t xml:space="preserve">AddCandidate_NameAndCodeAtUpperAndLowerValidBounds_AreSaved(2,1)</t>
  </si>
  <si>
    <t xml:space="preserve">BVA-11</t>
  </si>
  <si>
    <t xml:space="preserve">name 150 chars, code 50 chars</t>
  </si>
  <si>
    <t xml:space="preserve">AddCandidate_NameAndCodeAtUpperAndLowerValidBounds_AreSaved(150,50)</t>
  </si>
  <si>
    <t xml:space="preserve">BVA-12</t>
  </si>
  <si>
    <t xml:space="preserve">name 151 chars</t>
  </si>
  <si>
    <t xml:space="preserve">Rejected with message</t>
  </si>
  <si>
    <t xml:space="preserve">D08_..._IsRejectedWithValidationMessage("name")</t>
  </si>
  <si>
    <t xml:space="preserve">D08</t>
  </si>
  <si>
    <t xml:space="preserve">Rejected after the fix; defect D08 (name) is fixed and the regression test passes.</t>
  </si>
  <si>
    <t xml:space="preserve">BVA-13</t>
  </si>
  <si>
    <t xml:space="preserve">code 51 chars</t>
  </si>
  <si>
    <t xml:space="preserve">D08_..._IsRejectedWithValidationMessage("code")</t>
  </si>
  <si>
    <t xml:space="preserve">Not rejected / incorrect behaviour; defect D08 confirmed (assertion failure).</t>
  </si>
  <si>
    <t xml:space="preserve">BVA-14</t>
  </si>
  <si>
    <t xml:space="preserve">description 501 chars</t>
  </si>
  <si>
    <t xml:space="preserve">D08_..._IsRejectedWithValidationMessage("description")</t>
  </si>
  <si>
    <t xml:space="preserve">BVA-15</t>
  </si>
  <si>
    <t xml:space="preserve">imageUrl 501 chars</t>
  </si>
  <si>
    <t xml:space="preserve">D08_..._IsRejectedWithValidationMessage("imageUrl")</t>
  </si>
  <si>
    <t xml:space="preserve">BVA-16</t>
  </si>
  <si>
    <t xml:space="preserve">Edit GET</t>
  </si>
  <si>
    <t xml:space="preserve">No programs</t>
  </si>
  <si>
    <t xml:space="preserve">id = 0</t>
  </si>
  <si>
    <t xml:space="preserve">GET /ProgramOwner/Edit/0</t>
  </si>
  <si>
    <t xml:space="preserve">404 NotFound</t>
  </si>
  <si>
    <t xml:space="preserve">EditGet_NonExistingIdBoundaries_ReturnNotFound(0)</t>
  </si>
  <si>
    <t xml:space="preserve">BVA-17</t>
  </si>
  <si>
    <t xml:space="preserve">id = -1 and int.MinValue</t>
  </si>
  <si>
    <t xml:space="preserve">GET Edit</t>
  </si>
  <si>
    <t xml:space="preserve">EditGet_NonExistingIdBoundaries_ReturnNotFound(-1, int.MinValue)</t>
  </si>
  <si>
    <t xml:space="preserve">BVA-18</t>
  </si>
  <si>
    <t xml:space="preserve">id = int.MaxValue</t>
  </si>
  <si>
    <t xml:space="preserve">EditGet_NonExistingIdBoundaries_ReturnNotFound(int.MaxValue)</t>
  </si>
  <si>
    <t xml:space="preserve">BVA-19</t>
  </si>
  <si>
    <t xml:space="preserve">ManageCandidates</t>
  </si>
  <si>
    <t xml:space="preserve">Service returns null</t>
  </si>
  <si>
    <t xml:space="preserve">programId = 0, -1, int.MaxValue</t>
  </si>
  <si>
    <t xml:space="preserve">GET ManageCandidates</t>
  </si>
  <si>
    <t xml:space="preserve">ManageCandidates_NonExistingIdBoundaries_ReturnNotFound</t>
  </si>
  <si>
    <t xml:space="preserve">BVA-20</t>
  </si>
  <si>
    <t xml:space="preserve">Delete</t>
  </si>
  <si>
    <t xml:space="preserve">Published program, owner</t>
  </si>
  <si>
    <t xml:space="preserve">EndTime = now-1 s (ended) / now+60 s (active)</t>
  </si>
  <si>
    <t xml:space="preserve">POST Delete</t>
  </si>
  <si>
    <t xml:space="preserve">Ended: deleted. Active: refused</t>
  </si>
  <si>
    <t xml:space="preserve">Delete_PublishedProgramAroundEndTime_RespectsBoundary</t>
  </si>
  <si>
    <t xml:space="preserve">ECT-01</t>
  </si>
  <si>
    <t xml:space="preserve">Program owned by user</t>
  </si>
  <si>
    <t xml:space="preserve">Owner</t>
  </si>
  <si>
    <t xml:space="preserve">View returned</t>
  </si>
  <si>
    <t xml:space="preserve">PO-018 (existing)</t>
  </si>
  <si>
    <t xml:space="preserve">ECT-02</t>
  </si>
  <si>
    <t xml:space="preserve">Program owned by someone else</t>
  </si>
  <si>
    <t xml:space="preserve">Admin role</t>
  </si>
  <si>
    <t xml:space="preserve">PO-020 (existing)</t>
  </si>
  <si>
    <t xml:space="preserve">ECT-03</t>
  </si>
  <si>
    <t xml:space="preserve">ManageVoters</t>
  </si>
  <si>
    <t xml:space="preserve">Non-owner, non-admin</t>
  </si>
  <si>
    <t xml:space="preserve">GET ManageVoters</t>
  </si>
  <si>
    <t xml:space="preserve">Forbid</t>
  </si>
  <si>
    <t xml:space="preserve">PO-049 (existing)</t>
  </si>
  <si>
    <t xml:space="preserve">ECT-04</t>
  </si>
  <si>
    <t xml:space="preserve">MyPrograms</t>
  </si>
  <si>
    <t xml:space="preserve">No NameIdentifier claim</t>
  </si>
  <si>
    <t xml:space="preserve">Anonymous identity</t>
  </si>
  <si>
    <t xml:space="preserve">GET MyPrograms</t>
  </si>
  <si>
    <t xml:space="preserve">Unauthorized</t>
  </si>
  <si>
    <t xml:space="preserve">PO-001 (existing)</t>
  </si>
  <si>
    <t xml:space="preserve">ECT-05</t>
  </si>
  <si>
    <t xml:space="preserve">Results</t>
  </si>
  <si>
    <t xml:space="preserve">Program does not exist</t>
  </si>
  <si>
    <t xml:space="preserve">programId = 999</t>
  </si>
  <si>
    <t xml:space="preserve">GET Results</t>
  </si>
  <si>
    <t xml:space="preserve">NotFound</t>
  </si>
  <si>
    <t xml:space="preserve">PO-044 (existing)</t>
  </si>
  <si>
    <t xml:space="preserve">ECT-06</t>
  </si>
  <si>
    <t xml:space="preserve">imageUrl http://x.example/a.png</t>
  </si>
  <si>
    <t xml:space="preserve">PO-030 (existing)</t>
  </si>
  <si>
    <t xml:space="preserve">ECT-07</t>
  </si>
  <si>
    <t xml:space="preserve">imageUrl https://x.example/a.png</t>
  </si>
  <si>
    <t xml:space="preserve">PO-031 (existing)</t>
  </si>
  <si>
    <t xml:space="preserve">ECT-08</t>
  </si>
  <si>
    <t xml:space="preserve">imageUrl /images/a.png</t>
  </si>
  <si>
    <t xml:space="preserve">PO-032 (existing)</t>
  </si>
  <si>
    <t xml:space="preserve">ECT-09</t>
  </si>
  <si>
    <t xml:space="preserve">imageUrl //evil.example/a.png</t>
  </si>
  <si>
    <t xml:space="preserve">Rejected</t>
  </si>
  <si>
    <t xml:space="preserve">D09_AddCandidate_ProtocolRelativeImageUrl_IsRejected</t>
  </si>
  <si>
    <t xml:space="preserve">D09</t>
  </si>
  <si>
    <t xml:space="preserve">Rejected after the fix; defect D09 is fixed and the regression test passes.</t>
  </si>
  <si>
    <t xml:space="preserve">ECT-10</t>
  </si>
  <si>
    <t xml:space="preserve">imageUrl javascript:alert(1)</t>
  </si>
  <si>
    <t xml:space="preserve">PO-034 (existing)</t>
  </si>
  <si>
    <t xml:space="preserve">ECT-11</t>
  </si>
  <si>
    <t xml:space="preserve">imageUrl ftp://x.example/a.png</t>
  </si>
  <si>
    <t xml:space="preserve">PO-035 (existing)</t>
  </si>
  <si>
    <t xml:space="preserve">ECT-12</t>
  </si>
  <si>
    <t xml:space="preserve">Candidate code 'A' exists</t>
  </si>
  <si>
    <t xml:space="preserve">code 'A' again</t>
  </si>
  <si>
    <t xml:space="preserve">Rejected as duplicate</t>
  </si>
  <si>
    <t xml:space="preserve">PO-029 (existing)</t>
  </si>
  <si>
    <t xml:space="preserve">ECT-13</t>
  </si>
  <si>
    <t xml:space="preserve">code 'a'</t>
  </si>
  <si>
    <t xml:space="preserve">D10_AddCandidate_CodeThatDiffersOnlyByCase_IsRejectedAsDuplicate</t>
  </si>
  <si>
    <t xml:space="preserve">D10</t>
  </si>
  <si>
    <t xml:space="preserve">Not rejected / incorrect behaviour; defect D10 confirmed (assertion failure).</t>
  </si>
  <si>
    <t xml:space="preserve">ECT-14</t>
  </si>
  <si>
    <t xml:space="preserve">Active published program</t>
  </si>
  <si>
    <t xml:space="preserve">Valid candidate</t>
  </si>
  <si>
    <t xml:space="preserve">Rejected: ballot frozen</t>
  </si>
  <si>
    <t xml:space="preserve">D02_AddCandidate_WhileProgramIsActive_IsRejected</t>
  </si>
  <si>
    <t xml:space="preserve">D02</t>
  </si>
  <si>
    <t xml:space="preserve">Not rejected / incorrect behaviour; defect D02 confirmed (assertion failure).</t>
  </si>
  <si>
    <t xml:space="preserve">ECT-15</t>
  </si>
  <si>
    <t xml:space="preserve">Ended program</t>
  </si>
  <si>
    <t xml:space="preserve">D02_AddCandidate_AfterProgramEnded_IsRejected</t>
  </si>
  <si>
    <t xml:space="preserve">ECT-16</t>
  </si>
  <si>
    <t xml:space="preserve">DeleteCandidate</t>
  </si>
  <si>
    <t xml:space="preserve">Existing candidate</t>
  </si>
  <si>
    <t xml:space="preserve">POST DeleteCandidate</t>
  </si>
  <si>
    <t xml:space="preserve">D02_DeleteCandidate_WhileProgramIsActive_IsRejected</t>
  </si>
  <si>
    <t xml:space="preserve">ECT-17</t>
  </si>
  <si>
    <t xml:space="preserve">Candidate has a vote</t>
  </si>
  <si>
    <t xml:space="preserve">Rejected; votes preserved</t>
  </si>
  <si>
    <t xml:space="preserve">D03_DeleteCandidate_WithRecordedVotes_IsRejected</t>
  </si>
  <si>
    <t xml:space="preserve">D03</t>
  </si>
  <si>
    <t xml:space="preserve">Not rejected / incorrect behaviour; defect D03 confirmed (assertion failure).</t>
  </si>
  <si>
    <t xml:space="preserve">ECT-18</t>
  </si>
  <si>
    <t xml:space="preserve">RegisterVoter</t>
  </si>
  <si>
    <t xml:space="preserve">Owner program</t>
  </si>
  <si>
    <t xml:space="preserve">email 'not-an-email'</t>
  </si>
  <si>
    <t xml:space="preserve">RegisterVoterByEmailAsync</t>
  </si>
  <si>
    <t xml:space="preserve">D14_RegisterVoter_InvalidEmailFormat_IsRejected</t>
  </si>
  <si>
    <t xml:space="preserve">D14</t>
  </si>
  <si>
    <t xml:space="preserve">Not rejected / incorrect behaviour; defect D14 confirmed (assertion failure).</t>
  </si>
  <si>
    <t xml:space="preserve">ECT-19</t>
  </si>
  <si>
    <t xml:space="preserve">Valid voter</t>
  </si>
  <si>
    <t xml:space="preserve">D14_RegisterVoter_AfterElectionEnded_IsRejected</t>
  </si>
  <si>
    <t xml:space="preserve">ECT-20</t>
  </si>
  <si>
    <t xml:space="preserve">Edit POST</t>
  </si>
  <si>
    <t xml:space="preserve">Active program</t>
  </si>
  <si>
    <t xml:space="preserve">New Start/End in the future</t>
  </si>
  <si>
    <t xml:space="preserve">ValidateAndUpdateProgramAsync</t>
  </si>
  <si>
    <t xml:space="preserve">D01_Edit_StartedProgram_CannotBeRescheduledIntoTheFuture</t>
  </si>
  <si>
    <t xml:space="preserve">D01</t>
  </si>
  <si>
    <t xml:space="preserve">Not rejected / incorrect behaviour; defect D01 confirmed (assertion failure).</t>
  </si>
  <si>
    <t xml:space="preserve">BP-01</t>
  </si>
  <si>
    <t xml:space="preserve">No user id</t>
  </si>
  <si>
    <t xml:space="preserve">—</t>
  </si>
  <si>
    <t xml:space="preserve">Unauthorized (P1)</t>
  </si>
  <si>
    <t xml:space="preserve">BP-02</t>
  </si>
  <si>
    <t xml:space="preserve">Owner has 1 program</t>
  </si>
  <si>
    <t xml:space="preserve">owner-1</t>
  </si>
  <si>
    <t xml:space="preserve">View with owner's programs (P2)</t>
  </si>
  <si>
    <t xml:space="preserve">PO-002 (existing)</t>
  </si>
  <si>
    <t xml:space="preserve">BP-03</t>
  </si>
  <si>
    <t xml:space="preserve">Invalid ModelState</t>
  </si>
  <si>
    <t xml:space="preserve">Empty name</t>
  </si>
  <si>
    <t xml:space="preserve">POST Create</t>
  </si>
  <si>
    <t xml:space="preserve">Form returned, ValuesAreUtc=false (P1)</t>
  </si>
  <si>
    <t xml:space="preserve">PO-005 (existing)</t>
  </si>
  <si>
    <t xml:space="preserve">BP-04</t>
  </si>
  <si>
    <t xml:space="preserve">Service fails with a message</t>
  </si>
  <si>
    <t xml:space="preserve">Form + model error (P2)</t>
  </si>
  <si>
    <t xml:space="preserve">PO-006 (existing)</t>
  </si>
  <si>
    <t xml:space="preserve">BP-05</t>
  </si>
  <si>
    <t xml:space="preserve">Service fails with no message</t>
  </si>
  <si>
    <t xml:space="preserve">Form returned, no model error (P3)</t>
  </si>
  <si>
    <t xml:space="preserve">CreatePost_ServiceFailureWithoutMessage_ReturnsFormWithoutModelError</t>
  </si>
  <si>
    <t xml:space="preserve">BP-06</t>
  </si>
  <si>
    <t xml:space="preserve">Service succeeds, unpublished</t>
  </si>
  <si>
    <t xml:space="preserve">Redirect to MyPrograms (P4)</t>
  </si>
  <si>
    <t xml:space="preserve">PO-007 (existing)</t>
  </si>
  <si>
    <t xml:space="preserve">BP-07</t>
  </si>
  <si>
    <t xml:space="preserve">Service succeeds, published</t>
  </si>
  <si>
    <t xml:space="preserve">IsPublished=true</t>
  </si>
  <si>
    <t xml:space="preserve">Published link stored, redirect (P5)</t>
  </si>
  <si>
    <t xml:space="preserve">PO-008 (existing)</t>
  </si>
  <si>
    <t xml:space="preserve">BP-08</t>
  </si>
  <si>
    <t xml:space="preserve">id != model.Id</t>
  </si>
  <si>
    <t xml:space="preserve">id=1, model.Id=2</t>
  </si>
  <si>
    <t xml:space="preserve">POST Edit</t>
  </si>
  <si>
    <t xml:space="preserve">NotFound (P1)</t>
  </si>
  <si>
    <t xml:space="preserve">PO-013 (existing)</t>
  </si>
  <si>
    <t xml:space="preserve">BP-09</t>
  </si>
  <si>
    <t xml:space="preserve">Form returned, no model error (P4)</t>
  </si>
  <si>
    <t xml:space="preserve">EditPost_ServiceFailureWithoutMessage_ReturnsFormWithoutModelError</t>
  </si>
  <si>
    <t xml:space="preserve">BP-10</t>
  </si>
  <si>
    <t xml:space="preserve">Link stored, redirect (P6)</t>
  </si>
  <si>
    <t xml:space="preserve">EditPost_PublishedSuccess_StoresPublishedLinkAndRedirects</t>
  </si>
  <si>
    <t xml:space="preserve">BP-11</t>
  </si>
  <si>
    <t xml:space="preserve">name = ''</t>
  </si>
  <si>
    <t xml:space="preserve">Error + redirect (P1)</t>
  </si>
  <si>
    <t xml:space="preserve">PO-022 (existing)</t>
  </si>
  <si>
    <t xml:space="preserve">BP-12</t>
  </si>
  <si>
    <t xml:space="preserve">Admin, program of another owner</t>
  </si>
  <si>
    <t xml:space="preserve">Valid data</t>
  </si>
  <si>
    <t xml:space="preserve">Saved (P5)</t>
  </si>
  <si>
    <t xml:space="preserve">AddCandidate_AdminOnAnotherOwnersProgram_SavesCandidate</t>
  </si>
  <si>
    <t xml:space="preserve">BP-13</t>
  </si>
  <si>
    <t xml:space="preserve">imageUrl 'example.com/a.png'</t>
  </si>
  <si>
    <t xml:space="preserve">Rejected (P12)</t>
  </si>
  <si>
    <t xml:space="preserve">PO-036 (existing)</t>
  </si>
  <si>
    <t xml:space="preserve">BP-14</t>
  </si>
  <si>
    <t xml:space="preserve">Candidate belongs to another program</t>
  </si>
  <si>
    <t xml:space="preserve">candidateId of program 2, programId 1</t>
  </si>
  <si>
    <t xml:space="preserve">Forbid (P5)</t>
  </si>
  <si>
    <t xml:space="preserve">PO-043 (existing)</t>
  </si>
  <si>
    <t xml:space="preserve">BP-15</t>
  </si>
  <si>
    <t xml:space="preserve">Owner, upcoming program</t>
  </si>
  <si>
    <t xml:space="preserve">Own candidate</t>
  </si>
  <si>
    <t xml:space="preserve">Deleted (P7)</t>
  </si>
  <si>
    <t xml:space="preserve">PO-040 (existing)</t>
  </si>
  <si>
    <t xml:space="preserve">BP-16</t>
  </si>
  <si>
    <t xml:space="preserve">View returned (P4)</t>
  </si>
  <si>
    <t xml:space="preserve">Results_AdminOnAnotherOwnersProgram_ReturnsView</t>
  </si>
  <si>
    <t xml:space="preserve">BP-17</t>
  </si>
  <si>
    <t xml:space="preserve">RegisterVoter POST</t>
  </si>
  <si>
    <t xml:space="preserve">Service fails</t>
  </si>
  <si>
    <t xml:space="preserve">POST RegisterVoter</t>
  </si>
  <si>
    <t xml:space="preserve">Redirect with error (P4)</t>
  </si>
  <si>
    <t xml:space="preserve">PO-054 (existing)</t>
  </si>
  <si>
    <t xml:space="preserve">BP-18</t>
  </si>
  <si>
    <t xml:space="preserve">Service called (P3)</t>
  </si>
  <si>
    <t xml:space="preserve">RegisterVoterPost_AdminOnAnotherOwnersProgram_CallsService</t>
  </si>
  <si>
    <t xml:space="preserve">BP-19</t>
  </si>
  <si>
    <t xml:space="preserve">Published, active program</t>
  </si>
  <si>
    <t xml:space="preserve">Refused with error (P4)</t>
  </si>
  <si>
    <t xml:space="preserve">PO-061 (existing)</t>
  </si>
  <si>
    <t xml:space="preserve">BP-20</t>
  </si>
  <si>
    <t xml:space="preserve">Unpublished program</t>
  </si>
  <si>
    <t xml:space="preserve">Deleted (P5)</t>
  </si>
  <si>
    <t xml:space="preserve">Delete_UnpublishedProgram_RemovesProgram</t>
  </si>
  <si>
    <t xml:space="preserve">Boundary Value Analysis</t>
  </si>
  <si>
    <t xml:space="preserve">Seven-point boundary values (min-1, min, min+1, nominal, max-1, max, max+1) for every bounded input of ProgramOwnerController and the services it calls.</t>
  </si>
  <si>
    <t xml:space="preserve">Input</t>
  </si>
  <si>
    <t xml:space="preserve">Function</t>
  </si>
  <si>
    <t xml:space="preserve">Constraint (source)</t>
  </si>
  <si>
    <t xml:space="preserve">Below min</t>
  </si>
  <si>
    <t xml:space="preserve">Min</t>
  </si>
  <si>
    <t xml:space="preserve">Min+1</t>
  </si>
  <si>
    <t xml:space="preserve">Nominal</t>
  </si>
  <si>
    <t xml:space="preserve">Max-1</t>
  </si>
  <si>
    <t xml:space="preserve">Max</t>
  </si>
  <si>
    <t xml:space="preserve">Above max</t>
  </si>
  <si>
    <t xml:space="preserve">Expected behaviour</t>
  </si>
  <si>
    <t xml:space="preserve">Program duration (seconds)</t>
  </si>
  <si>
    <t xml:space="preserve">End - Start &gt;= 300 s (MinimumProgramDuration)</t>
  </si>
  <si>
    <t xml:space="preserve">299</t>
  </si>
  <si>
    <t xml:space="preserve">300</t>
  </si>
  <si>
    <t xml:space="preserve">301</t>
  </si>
  <si>
    <t xml:space="preserve">3600</t>
  </si>
  <si>
    <t xml:space="preserve">&lt;300 rejected; &gt;=300 accepted</t>
  </si>
  <si>
    <t xml:space="preserve">BVA-01..03</t>
  </si>
  <si>
    <t xml:space="preserve">ProgramName length</t>
  </si>
  <si>
    <t xml:space="preserve">Create/Edit POST</t>
  </si>
  <si>
    <t xml:space="preserve">3..200 (model StringLength)</t>
  </si>
  <si>
    <t xml:space="preserve">2</t>
  </si>
  <si>
    <t xml:space="preserve">3</t>
  </si>
  <si>
    <t xml:space="preserve">4</t>
  </si>
  <si>
    <t xml:space="preserve">20</t>
  </si>
  <si>
    <t xml:space="preserve">199</t>
  </si>
  <si>
    <t xml:space="preserve">200</t>
  </si>
  <si>
    <t xml:space="preserve">201</t>
  </si>
  <si>
    <t xml:space="preserve">Outside range -&gt; validation error</t>
  </si>
  <si>
    <t xml:space="preserve">BVA-04..07</t>
  </si>
  <si>
    <t xml:space="preserve">Description length</t>
  </si>
  <si>
    <t xml:space="preserve">&lt;= 2000 (model)</t>
  </si>
  <si>
    <t xml:space="preserve">0</t>
  </si>
  <si>
    <t xml:space="preserve">1</t>
  </si>
  <si>
    <t xml:space="preserve">1999</t>
  </si>
  <si>
    <t xml:space="preserve">2000</t>
  </si>
  <si>
    <t xml:space="preserve">2001</t>
  </si>
  <si>
    <t xml:space="preserve">2001 -&gt; validation error</t>
  </si>
  <si>
    <t xml:space="preserve">Candidate name length</t>
  </si>
  <si>
    <t xml:space="preserve">2..150 (model; NOT enforced in action)</t>
  </si>
  <si>
    <t xml:space="preserve">12</t>
  </si>
  <si>
    <t xml:space="preserve">149</t>
  </si>
  <si>
    <t xml:space="preserve">150</t>
  </si>
  <si>
    <t xml:space="preserve">151</t>
  </si>
  <si>
    <t xml:space="preserve">Outside range rejected (defects D07, D08)</t>
  </si>
  <si>
    <t xml:space="preserve">BVA-09..12</t>
  </si>
  <si>
    <t xml:space="preserve">Candidate code length</t>
  </si>
  <si>
    <t xml:space="preserve">1..50 (model; NOT enforced in action)</t>
  </si>
  <si>
    <t xml:space="preserve">0 (blank)</t>
  </si>
  <si>
    <t xml:space="preserve">6</t>
  </si>
  <si>
    <t xml:space="preserve">49</t>
  </si>
  <si>
    <t xml:space="preserve">50</t>
  </si>
  <si>
    <t xml:space="preserve">51</t>
  </si>
  <si>
    <t xml:space="preserve">Outside range rejected (D08)</t>
  </si>
  <si>
    <t xml:space="preserve">BVA-10,11,13</t>
  </si>
  <si>
    <t xml:space="preserve">Candidate description length</t>
  </si>
  <si>
    <t xml:space="preserve">&lt;= 500</t>
  </si>
  <si>
    <t xml:space="preserve">80</t>
  </si>
  <si>
    <t xml:space="preserve">499</t>
  </si>
  <si>
    <t xml:space="preserve">500</t>
  </si>
  <si>
    <t xml:space="preserve">501</t>
  </si>
  <si>
    <t xml:space="preserve">501 rejected (D08)</t>
  </si>
  <si>
    <t xml:space="preserve">Image URL length</t>
  </si>
  <si>
    <t xml:space="preserve">40</t>
  </si>
  <si>
    <t xml:space="preserve">Program / candidate / voter id</t>
  </si>
  <si>
    <t xml:space="preserve">Edit, ManageCandidates, Delete, …</t>
  </si>
  <si>
    <t xml:space="preserve">Positive existing id</t>
  </si>
  <si>
    <t xml:space="preserve">int.MinValue, -1, 0</t>
  </si>
  <si>
    <t xml:space="preserve">1 (existing)</t>
  </si>
  <si>
    <t xml:space="preserve">int.MaxValue</t>
  </si>
  <si>
    <t xml:space="preserve">Non-existing ids -&gt; 404</t>
  </si>
  <si>
    <t xml:space="preserve">BVA-16..19</t>
  </si>
  <si>
    <t xml:space="preserve">Election end time vs now (delete)</t>
  </si>
  <si>
    <t xml:space="preserve">HasEnded = now &gt;= EndTime</t>
  </si>
  <si>
    <t xml:space="preserve">EndTime = now+60 s</t>
  </si>
  <si>
    <t xml:space="preserve">EndTime = now-1 s</t>
  </si>
  <si>
    <t xml:space="preserve">Active: refused; ended: deleted</t>
  </si>
  <si>
    <t xml:space="preserve">Voter name length</t>
  </si>
  <si>
    <t xml:space="preserve">RegisterVoter (service)</t>
  </si>
  <si>
    <t xml:space="preserve">2..150 (model; NOT enforced in service)</t>
  </si>
  <si>
    <t xml:space="preserve">Outside range rejected (D29)</t>
  </si>
  <si>
    <t xml:space="preserve">D29 test</t>
  </si>
  <si>
    <t xml:space="preserve">Voter email length</t>
  </si>
  <si>
    <t xml:space="preserve">&lt;= 200 and valid format</t>
  </si>
  <si>
    <t xml:space="preserve">'a' (no @)</t>
  </si>
  <si>
    <t xml:space="preserve">a@b.co</t>
  </si>
  <si>
    <t xml:space="preserve">name@example.com</t>
  </si>
  <si>
    <t xml:space="preserve">Invalid/too long rejected (D14)</t>
  </si>
  <si>
    <t xml:space="preserve">Equivalence Class Testing</t>
  </si>
  <si>
    <t xml:space="preserve">Class</t>
  </si>
  <si>
    <t xml:space="preserve">Description</t>
  </si>
  <si>
    <t xml:space="preserve">Valid / invalid</t>
  </si>
  <si>
    <t xml:space="preserve">Representative value</t>
  </si>
  <si>
    <t xml:space="preserve">Expected</t>
  </si>
  <si>
    <t xml:space="preserve">Caller identity</t>
  </si>
  <si>
    <t xml:space="preserve">EC1</t>
  </si>
  <si>
    <t xml:space="preserve">Program owner</t>
  </si>
  <si>
    <t xml:space="preserve">owner-1 on own program</t>
  </si>
  <si>
    <t xml:space="preserve">Action allowed</t>
  </si>
  <si>
    <t xml:space="preserve">EC2</t>
  </si>
  <si>
    <t xml:space="preserve">Admin on another owner's program</t>
  </si>
  <si>
    <t xml:space="preserve">admin-1 with Admin role</t>
  </si>
  <si>
    <t xml:space="preserve">ECT-02, BP-12, BP-16, BP-18</t>
  </si>
  <si>
    <t xml:space="preserve">EC3</t>
  </si>
  <si>
    <t xml:space="preserve">Authenticated non-owner, non-admin</t>
  </si>
  <si>
    <t xml:space="preserve">Invalid</t>
  </si>
  <si>
    <t xml:space="preserve">owner-1 on owner-2's program</t>
  </si>
  <si>
    <t xml:space="preserve">EC4</t>
  </si>
  <si>
    <t xml:space="preserve">No user id claim</t>
  </si>
  <si>
    <t xml:space="preserve">Resource id</t>
  </si>
  <si>
    <t xml:space="preserve">EC5</t>
  </si>
  <si>
    <t xml:space="preserve">Program/candidate exists</t>
  </si>
  <si>
    <t xml:space="preserve">Proceeds to ownership check</t>
  </si>
  <si>
    <t xml:space="preserve">EC6</t>
  </si>
  <si>
    <t xml:space="preserve">Program/candidate missing</t>
  </si>
  <si>
    <t xml:space="preserve">999</t>
  </si>
  <si>
    <t xml:space="preserve">Program state</t>
  </si>
  <si>
    <t xml:space="preserve">EC7</t>
  </si>
  <si>
    <t xml:space="preserve">Draft / upcoming</t>
  </si>
  <si>
    <t xml:space="preserve">Valid for edits</t>
  </si>
  <si>
    <t xml:space="preserve">IsPublished=false, start in future</t>
  </si>
  <si>
    <t xml:space="preserve">Edits and deletes allowed</t>
  </si>
  <si>
    <t xml:space="preserve">EC8</t>
  </si>
  <si>
    <t xml:space="preserve">Active (started, not ended)</t>
  </si>
  <si>
    <t xml:space="preserve">Invalid for ballot changes</t>
  </si>
  <si>
    <t xml:space="preserve">Start -1h, End +1h, published</t>
  </si>
  <si>
    <t xml:space="preserve">Candidate add/delete and rescheduling must be rejected</t>
  </si>
  <si>
    <t xml:space="preserve">ECT-14, ECT-16, ECT-20, BP-19</t>
  </si>
  <si>
    <t xml:space="preserve">EC9</t>
  </si>
  <si>
    <t xml:space="preserve">Ended</t>
  </si>
  <si>
    <t xml:space="preserve">Invalid for changes</t>
  </si>
  <si>
    <t xml:space="preserve">End -1h</t>
  </si>
  <si>
    <t xml:space="preserve">Add candidate / register voter rejected; delete should keep data</t>
  </si>
  <si>
    <t xml:space="preserve">ECT-15, ECT-19, BVA-20</t>
  </si>
  <si>
    <t xml:space="preserve">Candidate name</t>
  </si>
  <si>
    <t xml:space="preserve">EC10</t>
  </si>
  <si>
    <t xml:space="preserve">Valid length 2..150</t>
  </si>
  <si>
    <t xml:space="preserve">Alice Rahman</t>
  </si>
  <si>
    <t xml:space="preserve">BVA-10, BVA-11</t>
  </si>
  <si>
    <t xml:space="preserve">EC11</t>
  </si>
  <si>
    <t xml:space="preserve">Blank / whitespace</t>
  </si>
  <si>
    <t xml:space="preserve">'', '  ', null</t>
  </si>
  <si>
    <t xml:space="preserve">BP-11 (PO-021..023)</t>
  </si>
  <si>
    <t xml:space="preserve">EC12</t>
  </si>
  <si>
    <t xml:space="preserve">Too short or too long</t>
  </si>
  <si>
    <t xml:space="preserve">'A', 151 chars</t>
  </si>
  <si>
    <t xml:space="preserve">BVA-09, BVA-12</t>
  </si>
  <si>
    <t xml:space="preserve">Candidate code</t>
  </si>
  <si>
    <t xml:space="preserve">EC13</t>
  </si>
  <si>
    <t xml:space="preserve">New unique code</t>
  </si>
  <si>
    <t xml:space="preserve">B2</t>
  </si>
  <si>
    <t xml:space="preserve">EC14</t>
  </si>
  <si>
    <t xml:space="preserve">Exact duplicate</t>
  </si>
  <si>
    <t xml:space="preserve">A</t>
  </si>
  <si>
    <t xml:space="preserve">EC15</t>
  </si>
  <si>
    <t xml:space="preserve">Case-variant duplicate</t>
  </si>
  <si>
    <t xml:space="preserve">a</t>
  </si>
  <si>
    <t xml:space="preserve">Image URL</t>
  </si>
  <si>
    <t xml:space="preserve">EC16</t>
  </si>
  <si>
    <t xml:space="preserve">Empty / null</t>
  </si>
  <si>
    <t xml:space="preserve">''</t>
  </si>
  <si>
    <t xml:space="preserve">Saved with ImageUrl = null</t>
  </si>
  <si>
    <t xml:space="preserve">(PO-038)</t>
  </si>
  <si>
    <t xml:space="preserve">EC17</t>
  </si>
  <si>
    <t xml:space="preserve">Absolute http/https</t>
  </si>
  <si>
    <t xml:space="preserve">https://x.example/a.png</t>
  </si>
  <si>
    <t xml:space="preserve">ECT-06, ECT-07</t>
  </si>
  <si>
    <t xml:space="preserve">EC18</t>
  </si>
  <si>
    <t xml:space="preserve">Root-relative</t>
  </si>
  <si>
    <t xml:space="preserve">/images/a.png</t>
  </si>
  <si>
    <t xml:space="preserve">EC19</t>
  </si>
  <si>
    <t xml:space="preserve">Protocol-relative</t>
  </si>
  <si>
    <t xml:space="preserve">//evil.example/a.png</t>
  </si>
  <si>
    <t xml:space="preserve">EC20</t>
  </si>
  <si>
    <t xml:space="preserve">Other scheme / malformed</t>
  </si>
  <si>
    <t xml:space="preserve">javascript:, ftp:, data:, example.com</t>
  </si>
  <si>
    <t xml:space="preserve">ECT-10, ECT-11, BP-13</t>
  </si>
  <si>
    <t xml:space="preserve">Voter email</t>
  </si>
  <si>
    <t xml:space="preserve">EC21</t>
  </si>
  <si>
    <t xml:space="preserve">Valid unique email</t>
  </si>
  <si>
    <t xml:space="preserve">nadia@example.com</t>
  </si>
  <si>
    <t xml:space="preserve">Registered</t>
  </si>
  <si>
    <t xml:space="preserve">EC22</t>
  </si>
  <si>
    <t xml:space="preserve">Invalid format</t>
  </si>
  <si>
    <t xml:space="preserve">not-an-email</t>
  </si>
  <si>
    <t xml:space="preserve">EC23</t>
  </si>
  <si>
    <t xml:space="preserve">Duplicate email in program</t>
  </si>
  <si>
    <t xml:space="preserve">same email twice</t>
  </si>
  <si>
    <t xml:space="preserve">(service) / Selenium S10</t>
  </si>
  <si>
    <t xml:space="preserve">Service result</t>
  </si>
  <si>
    <t xml:space="preserve">EC24</t>
  </si>
  <si>
    <t xml:space="preserve">Success</t>
  </si>
  <si>
    <t xml:space="preserve">(true, null)</t>
  </si>
  <si>
    <t xml:space="preserve">Redirect + success message</t>
  </si>
  <si>
    <t xml:space="preserve">BP-06, BP-10</t>
  </si>
  <si>
    <t xml:space="preserve">EC25</t>
  </si>
  <si>
    <t xml:space="preserve">Failure with message</t>
  </si>
  <si>
    <t xml:space="preserve">(false, 'text')</t>
  </si>
  <si>
    <t xml:space="preserve">Form/redirect with error</t>
  </si>
  <si>
    <t xml:space="preserve">BP-04, BP-17</t>
  </si>
  <si>
    <t xml:space="preserve">EC26</t>
  </si>
  <si>
    <t xml:space="preserve">Failure without message</t>
  </si>
  <si>
    <t xml:space="preserve">(false, null)</t>
  </si>
  <si>
    <t xml:space="preserve">Form without model error</t>
  </si>
  <si>
    <t xml:space="preserve">BP-05, BP-09</t>
  </si>
  <si>
    <t xml:space="preserve">Model state</t>
  </si>
  <si>
    <t xml:space="preserve">EC27</t>
  </si>
  <si>
    <t xml:space="preserve">complete form</t>
  </si>
  <si>
    <t xml:space="preserve">Service is called</t>
  </si>
  <si>
    <t xml:space="preserve">EC28</t>
  </si>
  <si>
    <t xml:space="preserve">empty ProgramName</t>
  </si>
  <si>
    <t xml:space="preserve">Form returned, service not called</t>
  </si>
  <si>
    <t xml:space="preserve">Browser time zone offset</t>
  </si>
  <si>
    <t xml:space="preserve">EC29</t>
  </si>
  <si>
    <t xml:space="preserve">Offset present</t>
  </si>
  <si>
    <t xml:space="preserve">+360 (UTC+6) / -300 (UTC-5)</t>
  </si>
  <si>
    <t xml:space="preserve">Correct UTC stored</t>
  </si>
  <si>
    <t xml:space="preserve">TimeBehaviorTests</t>
  </si>
  <si>
    <t xml:space="preserve">EC30</t>
  </si>
  <si>
    <t xml:space="preserve">Offset missing</t>
  </si>
  <si>
    <t xml:space="preserve">null</t>
  </si>
  <si>
    <t xml:space="preserve">Basis path testing — 10 functions</t>
  </si>
  <si>
    <t xml:space="preserve">V(G) = decision points + 1. A decision point is each if, each &amp;&amp; / || operand, ternary and catch. 'Paths listed' must equal V(G).</t>
  </si>
  <si>
    <t xml:space="preserve">Source lines</t>
  </si>
  <si>
    <t xml:space="preserve">Decision predicates</t>
  </si>
  <si>
    <t xml:space="preserve">Decision points</t>
  </si>
  <si>
    <t xml:space="preserve">V(G)</t>
  </si>
  <si>
    <t xml:space="preserve">Paths listed</t>
  </si>
  <si>
    <t xml:space="preserve">Check</t>
  </si>
  <si>
    <t xml:space="preserve">33-52</t>
  </si>
  <si>
    <t xml:space="preserve">userId empty</t>
  </si>
  <si>
    <t xml:space="preserve">69-94</t>
  </si>
  <si>
    <t xml:space="preserve">!ModelState.IsValid; !success; errorMessage != null; model.IsPublished</t>
  </si>
  <si>
    <t xml:space="preserve">119-143</t>
  </si>
  <si>
    <t xml:space="preserve">id != model.Id; !ModelState.IsValid; !success; errorMessage != null; model.IsPublished</t>
  </si>
  <si>
    <t xml:space="preserve">ManageCandidates GET</t>
  </si>
  <si>
    <t xml:space="preserve">146-157</t>
  </si>
  <si>
    <t xml:space="preserve">program is null; owner != current; !Admin</t>
  </si>
  <si>
    <t xml:space="preserve">162-226</t>
  </si>
  <si>
    <t xml:space="preserve">name blank; code blank; program null; owner != current; !Admin; codeExists; imageUrl present; TryCreate; http; https; !validUrl; !relativeOk; description blank; catch DbUpdateException</t>
  </si>
  <si>
    <t xml:space="preserve">232-257</t>
  </si>
  <si>
    <t xml:space="preserve">candidate null; program null; owner != current; !Admin; candidate.ProgramId != programId; catch DbUpdateException</t>
  </si>
  <si>
    <t xml:space="preserve">260-276</t>
  </si>
  <si>
    <t xml:space="preserve">program null; owner != current; !Admin</t>
  </si>
  <si>
    <t xml:space="preserve">280-300</t>
  </si>
  <si>
    <t xml:space="preserve">319-337</t>
  </si>
  <si>
    <t xml:space="preserve">program null; owner != current; !Admin; !success</t>
  </si>
  <si>
    <t xml:space="preserve">362-389</t>
  </si>
  <si>
    <t xml:space="preserve">program null; owner != current; !Admin; IsPublished; !HasEnded; catch DbUpdateException</t>
  </si>
  <si>
    <t xml:space="preserve">Path</t>
  </si>
  <si>
    <t xml:space="preserve">Condition path</t>
  </si>
  <si>
    <t xml:space="preserve">Expected outcome</t>
  </si>
  <si>
    <t xml:space="preserve">Test case(s)</t>
  </si>
  <si>
    <t xml:space="preserve">P1</t>
  </si>
  <si>
    <t xml:space="preserve">P2</t>
  </si>
  <si>
    <t xml:space="preserve">userId present</t>
  </si>
  <si>
    <t xml:space="preserve">View(programs of owner)</t>
  </si>
  <si>
    <t xml:space="preserve">ModelState invalid</t>
  </si>
  <si>
    <t xml:space="preserve">Form, ValuesAreUtc=false</t>
  </si>
  <si>
    <t xml:space="preserve">valid; service fails; message present</t>
  </si>
  <si>
    <t xml:space="preserve">Form + model error</t>
  </si>
  <si>
    <t xml:space="preserve">P3</t>
  </si>
  <si>
    <t xml:space="preserve">valid; service fails; message null</t>
  </si>
  <si>
    <t xml:space="preserve">Form, no model error</t>
  </si>
  <si>
    <t xml:space="preserve">P4</t>
  </si>
  <si>
    <t xml:space="preserve">valid; success; not published</t>
  </si>
  <si>
    <t xml:space="preserve">Redirect MyPrograms</t>
  </si>
  <si>
    <t xml:space="preserve">P5</t>
  </si>
  <si>
    <t xml:space="preserve">valid; success; published</t>
  </si>
  <si>
    <t xml:space="preserve">PublishedLink + redirect</t>
  </si>
  <si>
    <t xml:space="preserve">Form</t>
  </si>
  <si>
    <t xml:space="preserve">PO-014</t>
  </si>
  <si>
    <t xml:space="preserve">service fails; message present</t>
  </si>
  <si>
    <t xml:space="preserve">PO-015</t>
  </si>
  <si>
    <t xml:space="preserve">service fails; message null</t>
  </si>
  <si>
    <t xml:space="preserve">success; not published</t>
  </si>
  <si>
    <t xml:space="preserve">PO-016</t>
  </si>
  <si>
    <t xml:space="preserve">P6</t>
  </si>
  <si>
    <t xml:space="preserve">success; published</t>
  </si>
  <si>
    <t xml:space="preserve">program null</t>
  </si>
  <si>
    <t xml:space="preserve">PO-017</t>
  </si>
  <si>
    <t xml:space="preserve">owner != current and not admin</t>
  </si>
  <si>
    <t xml:space="preserve">PO-019</t>
  </si>
  <si>
    <t xml:space="preserve">owner</t>
  </si>
  <si>
    <t xml:space="preserve">View(candidates)</t>
  </si>
  <si>
    <t xml:space="preserve">admin on another owner's program</t>
  </si>
  <si>
    <t xml:space="preserve">name blank</t>
  </si>
  <si>
    <t xml:space="preserve">Error + redirect</t>
  </si>
  <si>
    <t xml:space="preserve">name ok; code blank</t>
  </si>
  <si>
    <t xml:space="preserve">PO-024..026</t>
  </si>
  <si>
    <t xml:space="preserve">PO-027</t>
  </si>
  <si>
    <t xml:space="preserve">not owner, not admin</t>
  </si>
  <si>
    <t xml:space="preserve">PO-028</t>
  </si>
  <si>
    <t xml:space="preserve">code already exists</t>
  </si>
  <si>
    <t xml:space="preserve">P7</t>
  </si>
  <si>
    <t xml:space="preserve">no image URL; description blank</t>
  </si>
  <si>
    <t xml:space="preserve">Saved with nulls</t>
  </si>
  <si>
    <t xml:space="preserve">PO-038</t>
  </si>
  <si>
    <t xml:space="preserve">P8</t>
  </si>
  <si>
    <t xml:space="preserve">http URL</t>
  </si>
  <si>
    <t xml:space="preserve">P9</t>
  </si>
  <si>
    <t xml:space="preserve">https URL</t>
  </si>
  <si>
    <t xml:space="preserve">P10</t>
  </si>
  <si>
    <t xml:space="preserve">root-relative URL</t>
  </si>
  <si>
    <t xml:space="preserve">P11</t>
  </si>
  <si>
    <t xml:space="preserve">absolute URL with other scheme</t>
  </si>
  <si>
    <t xml:space="preserve">ECT-10, ECT-11</t>
  </si>
  <si>
    <t xml:space="preserve">P12</t>
  </si>
  <si>
    <t xml:space="preserve">unparsable / bare host URL</t>
  </si>
  <si>
    <t xml:space="preserve">P13</t>
  </si>
  <si>
    <t xml:space="preserve">description present</t>
  </si>
  <si>
    <t xml:space="preserve">Saved, trimmed</t>
  </si>
  <si>
    <t xml:space="preserve">P14</t>
  </si>
  <si>
    <t xml:space="preserve">DbUpdateException on save</t>
  </si>
  <si>
    <t xml:space="preserve">needs fault-injection test (add)</t>
  </si>
  <si>
    <t xml:space="preserve">P15</t>
  </si>
  <si>
    <t xml:space="preserve">owner; all inputs valid</t>
  </si>
  <si>
    <t xml:space="preserve">Saved + success message + redirect</t>
  </si>
  <si>
    <t xml:space="preserve">PO-030, BVA-10</t>
  </si>
  <si>
    <t xml:space="preserve">candidate null</t>
  </si>
  <si>
    <t xml:space="preserve">PO-039</t>
  </si>
  <si>
    <t xml:space="preserve">(add) — PO-056 pattern</t>
  </si>
  <si>
    <t xml:space="preserve">PO-041</t>
  </si>
  <si>
    <t xml:space="preserve">admin deletes</t>
  </si>
  <si>
    <t xml:space="preserve">Deleted</t>
  </si>
  <si>
    <t xml:space="preserve">PO-042</t>
  </si>
  <si>
    <t xml:space="preserve">candidate.ProgramId != programId</t>
  </si>
  <si>
    <t xml:space="preserve">DbUpdateException</t>
  </si>
  <si>
    <t xml:space="preserve">owner deletes own candidate</t>
  </si>
  <si>
    <t xml:space="preserve">PO-044</t>
  </si>
  <si>
    <t xml:space="preserve">PO-045</t>
  </si>
  <si>
    <t xml:space="preserve">View + results + chain status</t>
  </si>
  <si>
    <t xml:space="preserve">PO-046, PO-047</t>
  </si>
  <si>
    <t xml:space="preserve">View</t>
  </si>
  <si>
    <t xml:space="preserve">PO-048</t>
  </si>
  <si>
    <t xml:space="preserve">PO-049</t>
  </si>
  <si>
    <t xml:space="preserve">View(voters)</t>
  </si>
  <si>
    <t xml:space="preserve">PO-050</t>
  </si>
  <si>
    <t xml:space="preserve">(add)</t>
  </si>
  <si>
    <t xml:space="preserve">PO-056 pattern</t>
  </si>
  <si>
    <t xml:space="preserve">admin; service success</t>
  </si>
  <si>
    <t xml:space="preserve">Redirect + success</t>
  </si>
  <si>
    <t xml:space="preserve">service fails</t>
  </si>
  <si>
    <t xml:space="preserve">Redirect + error</t>
  </si>
  <si>
    <t xml:space="preserve">owner; service success</t>
  </si>
  <si>
    <t xml:space="preserve">PO-055</t>
  </si>
  <si>
    <t xml:space="preserve">PO-059</t>
  </si>
  <si>
    <t xml:space="preserve">PO-060</t>
  </si>
  <si>
    <t xml:space="preserve">admin deletes ended program</t>
  </si>
  <si>
    <t xml:space="preserve">published and not ended</t>
  </si>
  <si>
    <t xml:space="preserve">Refused with error</t>
  </si>
  <si>
    <t xml:space="preserve">unpublished</t>
  </si>
  <si>
    <t xml:space="preserve">published and ended</t>
  </si>
  <si>
    <t xml:space="preserve">PO-062</t>
  </si>
  <si>
    <t xml:space="preserve">Defect reports (32) — D01–D14 tests run by the author; the rest are from code inspection. Confirm each and record the actual result</t>
  </si>
  <si>
    <t xml:space="preserve">Title</t>
  </si>
  <si>
    <t xml:space="preserve">Location</t>
  </si>
  <si>
    <t xml:space="preserve">Steps to reproduce</t>
  </si>
  <si>
    <t xml:space="preserve">Actual result (from code reading)</t>
  </si>
  <si>
    <t xml:space="preserve">Test / evidence</t>
  </si>
  <si>
    <t xml:space="preserve">Suggested fix</t>
  </si>
  <si>
    <t xml:space="preserve">Confirmed by test run?</t>
  </si>
  <si>
    <t xml:space="preserve">Edit allows rescheduling/reopening a program after voting started or ended</t>
  </si>
  <si>
    <t xml:space="preserve">VotingService.ValidateAndUpdateProgramAsync (called from ProgramOwnerController.Edit POST, line ~119)</t>
  </si>
  <si>
    <t xml:space="preserve">Published program already started (or ended); logged in as owner</t>
  </si>
  <si>
    <t xml:space="preserve">1) Open Edit for a started program. 2) Move Start/End into the future (or extend End of an ended program). 3) Save.</t>
  </si>
  <si>
    <t xml:space="preserve">Update rejected once voting has started; ended elections cannot be reopened.</t>
  </si>
  <si>
    <t xml:space="preserve">Update succeeds. No lifecycle check exists in the service.</t>
  </si>
  <si>
    <t xml:space="preserve">D01_Edit_StartedProgram_CannotBeRescheduledIntoTheFuture, D01_Edit_EndedProgram_CannotBeReopened</t>
  </si>
  <si>
    <t xml:space="preserve">Reject changes to StartTime/EndTime/IsPublished when program HasStarted (allow only name/description).</t>
  </si>
  <si>
    <t xml:space="preserve">Confirmed</t>
  </si>
  <si>
    <t xml:space="preserve">Yes</t>
  </si>
  <si>
    <t xml:space="preserve">Candidates can be added or deleted while the election is active or after it ended</t>
  </si>
  <si>
    <t xml:space="preserve">ProgramOwnerController.AddCandidate (line ~162), DeleteCandidate (line ~232)</t>
  </si>
  <si>
    <t xml:space="preserve">Published program that is active (or ended)</t>
  </si>
  <si>
    <t xml:space="preserve">1) Open ManageCandidates for an active program. 2) Add a candidate / delete one.</t>
  </si>
  <si>
    <t xml:space="preserve">Rejected with an error: the ballot is frozen once voting starts.</t>
  </si>
  <si>
    <t xml:space="preserve">Candidate is added/deleted. No state check in either action.</t>
  </si>
  <si>
    <t xml:space="preserve">D02_AddCandidate_WhileProgramIsActive_IsRejected, D02_AddCandidate_AfterProgramEnded_IsRejected, D02_DeleteCandidate_WhileProgramIsActive_IsRejected</t>
  </si>
  <si>
    <t xml:space="preserve">Add `if (program.HasStarted) { TempData["Error"]=...; redirect }` in both actions.</t>
  </si>
  <si>
    <t xml:space="preserve">Deleting a candidate that has votes silently deletes those votes (FK cascade)</t>
  </si>
  <si>
    <t xml:space="preserve">ProgramOwnerController.DeleteCandidate; Migrations/20260418054953_Initialcreate.cs (FK_Votes_Candidates_CandidateId = Cascade)</t>
  </si>
  <si>
    <t xml:space="preserve">Candidate has at least one vote</t>
  </si>
  <si>
    <t xml:space="preserve">1) Delete a candidate who received votes.</t>
  </si>
  <si>
    <t xml:space="preserve">Delete refused (or votes preserved); tallies and hash chain unchanged.</t>
  </si>
  <si>
    <t xml:space="preserve">Candidate and its votes are removed; vote totals drop and the blockchain chain no longer validates.</t>
  </si>
  <si>
    <t xml:space="preserve">Check for votes before delete; change FK to Restrict via migration.</t>
  </si>
  <si>
    <t xml:space="preserve">D04</t>
  </si>
  <si>
    <t xml:space="preserve">Removing a voter who already voted deletes their vote (FK cascade)</t>
  </si>
  <si>
    <t xml:space="preserve">VotingService.RemoveVoterAsync; FK_Votes_Voters_VoterId = Cascade</t>
  </si>
  <si>
    <t xml:space="preserve">Voter has HasVoted = true</t>
  </si>
  <si>
    <t xml:space="preserve">1) Open ManageVoters. 2) Remove a voter who has voted.</t>
  </si>
  <si>
    <t xml:space="preserve">Removal refused for voters who have voted.</t>
  </si>
  <si>
    <t xml:space="preserve">Voter and the vote row are removed; chain breaks. No HasVoted check.</t>
  </si>
  <si>
    <t xml:space="preserve">D04_RemoveVoter_VoterWhoAlreadyVoted_IsRejected</t>
  </si>
  <si>
    <t xml:space="preserve">Return error when voter.HasVoted; change FK to Restrict.</t>
  </si>
  <si>
    <t xml:space="preserve">D05</t>
  </si>
  <si>
    <t xml:space="preserve">A program with recorded votes can be hard-deleted as soon as it ends</t>
  </si>
  <si>
    <t xml:space="preserve">ProgramOwnerController.Delete (line ~362); cascade FK on Votes/BlockchainVotes; VotingDbContext Owner OnDelete Cascade</t>
  </si>
  <si>
    <t xml:space="preserve">Ended published program with votes</t>
  </si>
  <si>
    <t xml:space="preserve">1) Wait for the end time. 2) Click Delete on MyPrograms.</t>
  </si>
  <si>
    <t xml:space="preserve">Results and audit trail preserved (soft delete / archive).</t>
  </si>
  <si>
    <t xml:space="preserve">Program, votes and blocks are permanently removed. Deleting an Identity user also cascades to their programs.</t>
  </si>
  <si>
    <t xml:space="preserve">D05_Delete_EndedProgramWithVotes_IsNotHardDeleted</t>
  </si>
  <si>
    <t xml:space="preserve">Soft-delete (IsDeleted flag) or block deletion when votes exist.</t>
  </si>
  <si>
    <t xml:space="preserve">D06</t>
  </si>
  <si>
    <t xml:space="preserve">After a duration-validation failure the form re-renders with shifted times</t>
  </si>
  <si>
    <t xml:space="preserve">VotingService.ValidateProgramAsync (sets ValuesAreUtc = true before assigning StartTime/EndTime)</t>
  </si>
  <si>
    <t xml:space="preserve">Browser time zone is not UTC</t>
  </si>
  <si>
    <t xml:space="preserve">1) Create program with End &lt; Start + 5 min. 2) Submit. 3) Look at Start/End on the re-rendered form.</t>
  </si>
  <si>
    <t xml:space="preserve">Times shown exactly as typed.</t>
  </si>
  <si>
    <t xml:space="preserve">ValuesAreUtc is true while the model still holds local values, so the JS converts them again and the times shift by the UTC offset; every retry shifts again. Reachable only when the page's client-side 5-minute check (a JavaScript alert) is bypassed, so the browser test cannot reach it; the unit test confirms it.</t>
  </si>
  <si>
    <t xml:space="preserve">D06_DurationFailure_DoesNotLeaveLocalTimesFlaggedAsUtc; Selenium S03</t>
  </si>
  <si>
    <t xml:space="preserve">Set ValuesAreUtc only after StartTime/EndTime have been assigned UTC values.</t>
  </si>
  <si>
    <t xml:space="preserve">Candidate name of 1 character is accepted (model requires 2..150)</t>
  </si>
  <si>
    <t xml:space="preserve">ProgramOwnerController.AddCandidate (parameters bypass model validation)</t>
  </si>
  <si>
    <t xml:space="preserve">Any program</t>
  </si>
  <si>
    <t xml:space="preserve">1) POST name = 'A' with a valid code.</t>
  </si>
  <si>
    <t xml:space="preserve">Rejected with 'Name must be between 2 and 150 characters'.</t>
  </si>
  <si>
    <t xml:space="preserve">Before the fix a 1-character name was saved. Now rejected.</t>
  </si>
  <si>
    <t xml:space="preserve">D07_AddCandidate_SingleCharacterName_IsRejected; Selenium S08</t>
  </si>
  <si>
    <t xml:space="preserve">Bind to Candidate model with ModelState validation, or check lengths explicitly.</t>
  </si>
  <si>
    <t xml:space="preserve">Fixed</t>
  </si>
  <si>
    <t xml:space="preserve">No server-side maximum-length checks for candidate fields</t>
  </si>
  <si>
    <t xml:space="preserve">ProgramOwnerController.AddCandidate</t>
  </si>
  <si>
    <t xml:space="preserve">Crafted POST (browser maxlength can be bypassed)</t>
  </si>
  <si>
    <t xml:space="preserve">1) POST name 151 / code 51 / description 501 / imageUrl 501 characters.</t>
  </si>
  <si>
    <t xml:space="preserve">Specific validation message; nothing saved.</t>
  </si>
  <si>
    <t xml:space="preserve">Database throws DbUpdateException; user sees only 'Candidate could not be saved'.</t>
  </si>
  <si>
    <t xml:space="preserve">D08_AddCandidate_FieldOverMaxLength_IsRejectedWithValidationMessage (4 cases)</t>
  </si>
  <si>
    <t xml:space="preserve">Validate lengths before SaveChanges.</t>
  </si>
  <si>
    <t xml:space="preserve">Partly fixed</t>
  </si>
  <si>
    <t xml:space="preserve">Protocol-relative image URL (//host/img.png) is accepted</t>
  </si>
  <si>
    <t xml:space="preserve">ProgramOwnerController.AddCandidate (`imageUrl.StartsWith('/')`)</t>
  </si>
  <si>
    <t xml:space="preserve">1) Add candidate with imageUrl = //evil.example/photo.png.</t>
  </si>
  <si>
    <t xml:space="preserve">Rejected as not a valid image URL.</t>
  </si>
  <si>
    <t xml:space="preserve">Before the fix a protocol-relative URL was saved and browsers loaded the image from the external host. Now rejected.</t>
  </si>
  <si>
    <t xml:space="preserve">D09_AddCandidate_ProtocolRelativeImageUrl_IsRejected; Selenium S07</t>
  </si>
  <si>
    <t xml:space="preserve">Require StartsWith('/') &amp;&amp; !StartsWith("//") &amp;&amp; !StartsWith("/\\").</t>
  </si>
  <si>
    <t xml:space="preserve">Candidate-code uniqueness is case-sensitive</t>
  </si>
  <si>
    <t xml:space="preserve">ProgramOwnerController.AddCandidate; unique index on (ProgramId, CandidateCode)</t>
  </si>
  <si>
    <t xml:space="preserve">Candidate with code 'A' exists</t>
  </si>
  <si>
    <t xml:space="preserve">1) Add another candidate with code 'a'.</t>
  </si>
  <si>
    <t xml:space="preserve">Rejected as duplicate.</t>
  </si>
  <si>
    <t xml:space="preserve">Saved: 'A' and 'a' coexist.</t>
  </si>
  <si>
    <t xml:space="preserve">Compare with ToLower()/ordinal-ignore-case and normalise on save.</t>
  </si>
  <si>
    <t xml:space="preserve">D11</t>
  </si>
  <si>
    <t xml:space="preserve">Inconsistent NotFound/Forbid responses reveal which IDs exist</t>
  </si>
  <si>
    <t xml:space="preserve">ProgramOwnerController.DeleteCandidate, RemoveVoter</t>
  </si>
  <si>
    <t xml:space="preserve">Logged in as a different owner</t>
  </si>
  <si>
    <t xml:space="preserve">1) DeleteCandidate for a candidate of someone else's program. 2) DeleteCandidate for a non-existent id. 3) RemoveVoter for a missing program.</t>
  </si>
  <si>
    <t xml:space="preserve">Same response for 'missing' and 'not yours'.</t>
  </si>
  <si>
    <t xml:space="preserve">403 vs 404 differ, so IDs can be enumerated; RemoveVoter returns 403 for a missing program while other actions return 404.</t>
  </si>
  <si>
    <t xml:space="preserve">D11_DeleteCandidate_ExistingAndMissingCandidateOfOtherProgram_BehaveTheSame; D11_RemoveVoter_MissingProgram_ReturnsNotFoundLikeTheOtherActions</t>
  </si>
  <si>
    <t xml:space="preserve">Return NotFound for both cases. (Note: existing test PO-056 asserts the current Forbid behaviour.)</t>
  </si>
  <si>
    <t xml:space="preserve">D12</t>
  </si>
  <si>
    <t xml:space="preserve">MyPrograms and the dashboard load every vote, voter and candidate</t>
  </si>
  <si>
    <t xml:space="preserve">ProgramOwnerController.MyPrograms (Include Candidates/Votes/Voters); VotingService.GetAllProgramsForDashboardAsync</t>
  </si>
  <si>
    <t xml:space="preserve">Owner with large programs</t>
  </si>
  <si>
    <t xml:space="preserve">1) Open MyPrograms for a program with thousands of votes.</t>
  </si>
  <si>
    <t xml:space="preserve">Page loads counts only.</t>
  </si>
  <si>
    <t xml:space="preserve">All rows are materialised; memory and latency grow with vote volume.</t>
  </si>
  <si>
    <t xml:space="preserve">(performance) measure query size / response time</t>
  </si>
  <si>
    <t xml:space="preserve">Project to counts with Select(p =&gt; new { ..., Votes = p.Votes.Count }).</t>
  </si>
  <si>
    <t xml:space="preserve">Open</t>
  </si>
  <si>
    <t xml:space="preserve">Not yet</t>
  </si>
  <si>
    <t xml:space="preserve">D13</t>
  </si>
  <si>
    <t xml:space="preserve">Create does not trim Description (Edit does); invalid-slug message is unreachable</t>
  </si>
  <si>
    <t xml:space="preserve">VotingService.ValidateAndCreateProgramAsync; TryNormalizeSlug (always returns true)</t>
  </si>
  <si>
    <t xml:space="preserve">Any owner</t>
  </si>
  <si>
    <t xml:space="preserve">1) Create a program with Description '  hello  '. 2) Create with slug 'My Slug!'.</t>
  </si>
  <si>
    <t xml:space="preserve">Description trimmed; invalid slug reported.</t>
  </si>
  <si>
    <t xml:space="preserve">Description saved with spaces; slug is silently rewritten and the 'Slug can only contain…' error can never occur.</t>
  </si>
  <si>
    <t xml:space="preserve">D13_Create_TrimsDescriptionLikeEditDoes</t>
  </si>
  <si>
    <t xml:space="preserve">Trim in create; return false from TryNormalizeSlug when characters were removed.</t>
  </si>
  <si>
    <t xml:space="preserve">Voter registration has no email-format check and ignores the election window</t>
  </si>
  <si>
    <t xml:space="preserve">VotingService.RegisterVoterByEmailAsync</t>
  </si>
  <si>
    <t xml:space="preserve">Owner of a program</t>
  </si>
  <si>
    <t xml:space="preserve">1) Register voter with email 'not-an-email'. 2) Register a voter after the program ended.</t>
  </si>
  <si>
    <t xml:space="preserve">Both rejected.</t>
  </si>
  <si>
    <t xml:space="preserve">Both accepted. Only null/whitespace is checked; name/email lengths rely on DB errors.</t>
  </si>
  <si>
    <t xml:space="preserve">D14_RegisterVoter_InvalidEmailFormat_IsRejected, D14_RegisterVoter_AfterElectionEnded_IsRejected</t>
  </si>
  <si>
    <t xml:space="preserve">Validate with MailAddress/EmailAddressAttribute, lengths, and program state.</t>
  </si>
  <si>
    <t xml:space="preserve">D15</t>
  </si>
  <si>
    <t xml:space="preserve">Anyone can take over a pre-registered voter's slot by registering with that email</t>
  </si>
  <si>
    <t xml:space="preserve">Areas/Identity/Pages/Account/Register.cshtml.cs (EmailConfirmed = true; LinkExistingVoterRegistrationsAsync); Program.cs (RequireConfirmedAccount = false)</t>
  </si>
  <si>
    <t xml:space="preserve">Owner registered victim@example.com as a voter; victim has no account yet</t>
  </si>
  <si>
    <t xml:space="preserve">1) Attacker registers an account with victim@example.com (no verification needed). 2) Log in. 3) Open the election and vote.</t>
  </si>
  <si>
    <t xml:space="preserve">Voter slot is linked only after the email is verified.</t>
  </si>
  <si>
    <t xml:space="preserve">Account is created confirmed and the voter row is linked automatically, so the attacker casts the victim's vote.</t>
  </si>
  <si>
    <t xml:space="preserve">(security) Selenium/manual: register with an unverified email and vote</t>
  </si>
  <si>
    <t xml:space="preserve">Require email confirmation before linking voters; link on confirmation.</t>
  </si>
  <si>
    <t xml:space="preserve">D16</t>
  </si>
  <si>
    <t xml:space="preserve">Any signed-in user can self-register as a voter in any published program</t>
  </si>
  <si>
    <t xml:space="preserve">VotingController.Join (RegistrationSource = "self")</t>
  </si>
  <si>
    <t xml:space="preserve">Published program intended for a closed list</t>
  </si>
  <si>
    <t xml:space="preserve">1) Create an account. 2) Open the vote page. 3) Click register, then vote.</t>
  </si>
  <si>
    <t xml:space="preserve">Closed programs accept only owner-registered voters.</t>
  </si>
  <si>
    <t xml:space="preserve">Self-registration is always open, so the owner's voter list does not limit eligibility.</t>
  </si>
  <si>
    <t xml:space="preserve">(add) VotingController.Join test — teammate scope</t>
  </si>
  <si>
    <t xml:space="preserve">Add an 'open registration' setting per program, default closed.</t>
  </si>
  <si>
    <t xml:space="preserve">D17</t>
  </si>
  <si>
    <t xml:space="preserve">Ballot secrecy is not preserved</t>
  </si>
  <si>
    <t xml:space="preserve">Models/Vote.cs (VoterId + CandidateId + IpAddress + UserAgent)</t>
  </si>
  <si>
    <t xml:space="preserve">Database or admin access</t>
  </si>
  <si>
    <t xml:space="preserve">1) Query Votes joined with Voters.</t>
  </si>
  <si>
    <t xml:space="preserve">No link between a voter and their choice.</t>
  </si>
  <si>
    <t xml:space="preserve">Each vote row stores who voted for whom, plus IP and user agent.</t>
  </si>
  <si>
    <t xml:space="preserve">(review) data-model inspection</t>
  </si>
  <si>
    <t xml:space="preserve">Separate the 'has voted' ledger from the anonymous ballot; drop IP/user agent.</t>
  </si>
  <si>
    <t xml:space="preserve">D18</t>
  </si>
  <si>
    <t xml:space="preserve">Hash chain does not cover the vote's content</t>
  </si>
  <si>
    <t xml:space="preserve">BlockchainVote.GenerateHash / BlockchainService.IsChainValidForProgramAsync</t>
  </si>
  <si>
    <t xml:space="preserve">Program with blocks</t>
  </si>
  <si>
    <t xml:space="preserve">1) In the database change Votes.CandidateId for one vote. 2) Open Results.</t>
  </si>
  <si>
    <t xml:space="preserve">Chain reports invalid.</t>
  </si>
  <si>
    <t xml:space="preserve">Hash uses only VoteId + previous hash + timestamp, so the chain still reports valid.</t>
  </si>
  <si>
    <t xml:space="preserve">(add) BlockchainService test: tamper CandidateId and verify</t>
  </si>
  <si>
    <t xml:space="preserve">Include ProgramId, CandidateId, VoterId reference and VotedAt in the hash.</t>
  </si>
  <si>
    <t xml:space="preserve">D19</t>
  </si>
  <si>
    <t xml:space="preserve">Chain validation cannot detect missing or truncated blocks</t>
  </si>
  <si>
    <t xml:space="preserve">BlockchainService.IsChainValidForProgramAsync</t>
  </si>
  <si>
    <t xml:space="preserve">Votes exist without blocks, or last blocks deleted</t>
  </si>
  <si>
    <t xml:space="preserve">1) Delete the newest block rows. 2) Open Results.</t>
  </si>
  <si>
    <t xml:space="preserve">Invalid (votes without blocks).</t>
  </si>
  <si>
    <t xml:space="preserve">Returns true: only existing blocks are checked.</t>
  </si>
  <si>
    <t xml:space="preserve">(add) BlockchainService test: votes count != blocks count</t>
  </si>
  <si>
    <t xml:space="preserve">Compare vote count with block count and verify every vote has a block.</t>
  </si>
  <si>
    <t xml:space="preserve">D20</t>
  </si>
  <si>
    <t xml:space="preserve">Block queue is in memory, drops writes when full, and is lost on restart</t>
  </si>
  <si>
    <t xml:space="preserve">VoteBlockQueue (BoundedChannelFullMode.DropWrite), BlockchainBackgroundService</t>
  </si>
  <si>
    <t xml:space="preserve">Restart the app right after votes are cast</t>
  </si>
  <si>
    <t xml:space="preserve">1) Cast votes. 2) Restart before the worker runs.</t>
  </si>
  <si>
    <t xml:space="preserve">Every vote eventually gets a block.</t>
  </si>
  <si>
    <t xml:space="preserve">Queued vote ids are lost; the log promises a 'sweep' that does not exist.</t>
  </si>
  <si>
    <t xml:space="preserve">(add) background service test with queue at capacity</t>
  </si>
  <si>
    <t xml:space="preserve">On startup (and periodically) create blocks for votes without one.</t>
  </si>
  <si>
    <t xml:space="preserve">D21</t>
  </si>
  <si>
    <t xml:space="preserve">Retry delays block the single queue reader</t>
  </si>
  <si>
    <t xml:space="preserve">BlockchainService retry policy (2 s, 4 s, 8 s) with a single-reader channel</t>
  </si>
  <si>
    <t xml:space="preserve">A vote whose block keeps failing</t>
  </si>
  <si>
    <t xml:space="preserve">1) Make block creation fail repeatedly.</t>
  </si>
  <si>
    <t xml:space="preserve">Other votes are not delayed.</t>
  </si>
  <si>
    <t xml:space="preserve">Each failing vote stalls the queue for about 14 seconds.</t>
  </si>
  <si>
    <t xml:space="preserve">(add) background service test with failing service</t>
  </si>
  <si>
    <t xml:space="preserve">Retry out of band or cap the delay.</t>
  </si>
  <si>
    <t xml:space="preserve">D22</t>
  </si>
  <si>
    <t xml:space="preserve">Search orders by an unmapped property and may return HTTP 500</t>
  </si>
  <si>
    <t xml:space="preserve">VotingController.Search (`OrderByDescending(p =&gt; p.IsActive)`; IsActive is [NotMapped])</t>
  </si>
  <si>
    <t xml:space="preserve">Published programs exist</t>
  </si>
  <si>
    <t xml:space="preserve">1) Request /Voting/Search?q=a.</t>
  </si>
  <si>
    <t xml:space="preserve">JSON list of up to 8 programs.</t>
  </si>
  <si>
    <t xml:space="preserve">EF Core cannot translate IsActive to SQL and is expected to throw InvalidOperationException. CONFIRM by calling the endpoint.</t>
  </si>
  <si>
    <t xml:space="preserve">(manual) GET /Voting/Search?q=a; Selenium search test</t>
  </si>
  <si>
    <t xml:space="preserve">Order by a SQL expression: p.IsPublished &amp;&amp; p.StartTime &lt;= now &amp;&amp; p.EndTime &gt; now.</t>
  </si>
  <si>
    <t xml:space="preserve">D23</t>
  </si>
  <si>
    <t xml:space="preserve">Live tallies are visible to voters while voting is still open</t>
  </si>
  <si>
    <t xml:space="preserve">VotingController.PublicResults</t>
  </si>
  <si>
    <t xml:space="preserve">1) Open /Voting/PublicResults/{id} during the vote.</t>
  </si>
  <si>
    <t xml:space="preserve">Results hidden until the end (or per program setting).</t>
  </si>
  <si>
    <t xml:space="preserve">Counts are shown immediately, which can influence later voters.</t>
  </si>
  <si>
    <t xml:space="preserve">(add) VotingController test — teammate scope</t>
  </si>
  <si>
    <t xml:space="preserve">Return results only after EndTime unless the owner enables live results.</t>
  </si>
  <si>
    <t xml:space="preserve">D24</t>
  </si>
  <si>
    <t xml:space="preserve">Unpublished (draft) programs can be opened by id</t>
  </si>
  <si>
    <t xml:space="preserve">VotingController.Vote (no IsPublished check; PublicResults does check)</t>
  </si>
  <si>
    <t xml:space="preserve">Draft program</t>
  </si>
  <si>
    <t xml:space="preserve">1) Open /Voting/Vote/{id} for a draft.</t>
  </si>
  <si>
    <t xml:space="preserve">404 like PublicResults.</t>
  </si>
  <si>
    <t xml:space="preserve">Closed page rendered with the program's data.</t>
  </si>
  <si>
    <t xml:space="preserve">Return NotFound when !IsPublished (except for the owner).</t>
  </si>
  <si>
    <t xml:space="preserve">D25</t>
  </si>
  <si>
    <t xml:space="preserve">Search has no maximum query length</t>
  </si>
  <si>
    <t xml:space="preserve">VotingController.Search</t>
  </si>
  <si>
    <t xml:space="preserve">None</t>
  </si>
  <si>
    <t xml:space="preserve">1) Call Search with a very long q.</t>
  </si>
  <si>
    <t xml:space="preserve">Rejected or truncated.</t>
  </si>
  <si>
    <t xml:space="preserve">Passed to a LIKE query unchanged.</t>
  </si>
  <si>
    <t xml:space="preserve">(add) Search test with 10 000-character q</t>
  </si>
  <si>
    <t xml:space="preserve">Limit q to e.g. 100 characters.</t>
  </si>
  <si>
    <t xml:space="preserve">D26</t>
  </si>
  <si>
    <t xml:space="preserve">Selenium tests report a pass when nothing ran</t>
  </si>
  <si>
    <t xml:space="preserve">Tests/ProgramOwnerSeleniumTests.cs (LoginAsConfiguredOwner returns null -&gt; test returns)</t>
  </si>
  <si>
    <t xml:space="preserve">AMARTOOLS_* environment variables not set</t>
  </si>
  <si>
    <t xml:space="preserve">1) Run dotnet test without the variables.</t>
  </si>
  <si>
    <t xml:space="preserve">Tests reported as skipped.</t>
  </si>
  <si>
    <t xml:space="preserve">Before the fix the legacy tests passed without running a browser when the variables were missing, and failed with a click-intercepted error when they were set.</t>
  </si>
  <si>
    <t xml:space="preserve">SeleniumFact attribute in ProgramOwnerSeleniumFlowTests.cs</t>
  </si>
  <si>
    <t xml:space="preserve">Use a skippable fact (provided).</t>
  </si>
  <si>
    <t xml:space="preserve">D27</t>
  </si>
  <si>
    <t xml:space="preserve">Nullable-reference warnings in four views</t>
  </si>
  <si>
    <t xml:space="preserve">Vote.cshtml(9), PublicResults.cshtml(9), VotingAdmin/Results.cshtml(176), Shared/CreateProgram.cshtml(57)</t>
  </si>
  <si>
    <t xml:space="preserve">dotnet build</t>
  </si>
  <si>
    <t xml:space="preserve">1) Build the solution.</t>
  </si>
  <si>
    <t xml:space="preserve">No warnings.</t>
  </si>
  <si>
    <t xml:space="preserve">4 x CS8602 (Dereference of a possibly null reference).</t>
  </si>
  <si>
    <t xml:space="preserve">dotnet build output</t>
  </si>
  <si>
    <t xml:space="preserve">Use Model! or declare non-nullable model.</t>
  </si>
  <si>
    <t xml:space="preserve">D28</t>
  </si>
  <si>
    <t xml:space="preserve">A real Data Protection key file is present in the project folder</t>
  </si>
  <si>
    <t xml:space="preserve">.keys/ (project root of the submitted archive)</t>
  </si>
  <si>
    <t xml:space="preserve">Archive or image built from the folder</t>
  </si>
  <si>
    <t xml:space="preserve">1) Inspect the tar / Docker build context.</t>
  </si>
  <si>
    <t xml:space="preserve">No secrets in the archive or the image.</t>
  </si>
  <si>
    <t xml:space="preserve">Key file present; .gitignore and .dockerignore cover it but the archive still contains it.</t>
  </si>
  <si>
    <t xml:space="preserve">(process) archive review</t>
  </si>
  <si>
    <t xml:space="preserve">Delete .keys before archiving; keep it out of submissions.</t>
  </si>
  <si>
    <t xml:space="preserve">D29</t>
  </si>
  <si>
    <t xml:space="preserve">Voter name length is not validated on registration (model rule 2..150)</t>
  </si>
  <si>
    <t xml:space="preserve">VotingService.RegisterVoterByEmailAsync (called from ProgramOwnerController.RegisterVoter POST, line ~319)</t>
  </si>
  <si>
    <t xml:space="preserve">Owner of a program; crafted POST (browser maxlength can be bypassed)</t>
  </si>
  <si>
    <t xml:space="preserve">1) Register a voter with a 1-character name. 2) Register one with a 151-character name.</t>
  </si>
  <si>
    <t xml:space="preserve">Both rejected with a validation message.</t>
  </si>
  <si>
    <t xml:space="preserve">Both are accepted by the service (only null/whitespace is checked); the long name fails later at the database with a generic error.</t>
  </si>
  <si>
    <t xml:space="preserve">D29_RegisterVoter_NameOutsideAllowedLength_IsRejected (2 cases)</t>
  </si>
  <si>
    <t xml:space="preserve">Check Name length 2..150 (and email 200, memberId 100) before SaveChanges.</t>
  </si>
  <si>
    <t xml:space="preserve">D30</t>
  </si>
  <si>
    <t xml:space="preserve">Stored XSS / attribute injection through the candidate name in the delete confirmation</t>
  </si>
  <si>
    <t xml:space="preserve">Views/VotingAdmin/ManageCandidates.cshtml line 259 (`onsubmit="return confirm('Delete @Html.Raw(c.Name.Replace(...))?')"`)</t>
  </si>
  <si>
    <t xml:space="preserve">A ProgramOwner adds a candidate; an Admin (or the owner) opens ManageCandidates</t>
  </si>
  <si>
    <t xml:space="preserve">1) Add a candidate named  Eve" data-injected="1  (or \');alert(1);// ). 2) Open ManageCandidates and inspect the delete form / submit it.</t>
  </si>
  <si>
    <t xml:space="preserve">The name is encoded; the form has no extra attributes and no script runs.</t>
  </si>
  <si>
    <t xml:space="preserve">Html.Raw writes the name unencoded inside an HTML attribute and a JavaScript string. A double quote closes the attribute; a backslash defeats the single-quote escaping. A ProgramOwner can therefore run script in an Admin's session.</t>
  </si>
  <si>
    <t xml:space="preserve">Selenium S12 (AddCandidate_NameWithQuote_DoesNotInjectAttributesIntoDeleteForm); manual: use the name above</t>
  </si>
  <si>
    <t xml:space="preserve">Remove Html.Raw; use @Json.Serialize(c.Name) inside the handler, or a data attribute plus JavaScript confirm.</t>
  </si>
  <si>
    <t xml:space="preserve">D31</t>
  </si>
  <si>
    <t xml:space="preserve">Custom URL slug is collected but never used, and its uniqueness is not enforced by the database</t>
  </si>
  <si>
    <t xml:space="preserve">CreateProgram.cshtml (Slug input); VotingService.ValidateProgramAsync; VotingDbContext / Initialcreate migration (no unique index on Slug)</t>
  </si>
  <si>
    <t xml:space="preserve">Program created with a slug</t>
  </si>
  <si>
    <t xml:space="preserve">1) Create a program with slug my-election. 2) Open /Voting/Vote/my-election or any slug URL. 3) Create two programs with the same slug at the same time.</t>
  </si>
  <si>
    <t xml:space="preserve">The program opens through its slug, and duplicate slugs are impossible.</t>
  </si>
  <si>
    <t xml:space="preserve">No controller or route reads Slug (published links use the numeric id), so the feature has no effect. Uniqueness is only an application-level check, so concurrent creates can store duplicates.</t>
  </si>
  <si>
    <t xml:space="preserve">Code search: `.Slug` is read only in VotingService; manual: slug URL returns 404</t>
  </si>
  <si>
    <t xml:space="preserve">Add routing/lookup by slug and a unique case-insensitive index, or remove the field.</t>
  </si>
  <si>
    <t xml:space="preserve">D32</t>
  </si>
  <si>
    <t xml:space="preserve">Verification fields are never set or read (Vote.IsVerified, Vote.VerifiedAt, Vote.BlockchainReference, Voter.IsVerified, Voter.VerifiedAt)</t>
  </si>
  <si>
    <t xml:space="preserve">Models/Vote.cs lines 50-55; Models/Voter.cs lines 60-61</t>
  </si>
  <si>
    <t xml:space="preserve">Any recorded vote</t>
  </si>
  <si>
    <t xml:space="preserve">1) Cast a vote. 2) Inspect the Votes and Voters rows.</t>
  </si>
  <si>
    <t xml:space="preserve">Votes reference their blockchain block and verification state is meaningful.</t>
  </si>
  <si>
    <t xml:space="preserve">The columns always keep their defaults (false / null), so a vote row cannot be tied to its block and nothing reports verification.</t>
  </si>
  <si>
    <t xml:space="preserve">Code search: no assignment or read outside the model classes</t>
  </si>
  <si>
    <t xml:space="preserve">Populate BlockchainReference when the block is created, or remove the unused columns.</t>
  </si>
  <si>
    <t xml:space="preserve">Selenium flow tests (ProgramOwnerSeleniumFlowTests) — run against http://localhost:5256, evidence: selenium-output.txt</t>
  </si>
  <si>
    <t xml:space="preserve">Test</t>
  </si>
  <si>
    <t xml:space="preserve">Scenario</t>
  </si>
  <si>
    <t xml:space="preserve">Result</t>
  </si>
  <si>
    <t xml:space="preserve">Related defect</t>
  </si>
  <si>
    <t xml:space="preserve">Dashboard_IsShownAfterLogin</t>
  </si>
  <si>
    <t xml:space="preserve">Login and dashboard</t>
  </si>
  <si>
    <t xml:space="preserve">CreateProgram_ValidInput_AppearsOnDashboard</t>
  </si>
  <si>
    <t xml:space="preserve">Create a program through the form</t>
  </si>
  <si>
    <t xml:space="preserve">CreateProgram_DurationUnderFiveMinutes_KeepsTheTimesTheUserTyped</t>
  </si>
  <si>
    <t xml:space="preserve">Client-side 5-minute alert; typed times stay in the form</t>
  </si>
  <si>
    <t xml:space="preserve">D06 (server side is covered by the unit test)</t>
  </si>
  <si>
    <t xml:space="preserve">AddCandidate_ValidInput_ShowsSuccess</t>
  </si>
  <si>
    <t xml:space="preserve">Add candidate</t>
  </si>
  <si>
    <t xml:space="preserve">AddCandidate_DuplicateCode_ShowsError</t>
  </si>
  <si>
    <t xml:space="preserve">Duplicate candidate code</t>
  </si>
  <si>
    <t xml:space="preserve">AddCandidate_JavascriptImageUrl_IsRejected</t>
  </si>
  <si>
    <t xml:space="preserve">javascript: image URL rejected</t>
  </si>
  <si>
    <t xml:space="preserve">AddCandidate_ProtocolRelativeImageUrl_IsRejected</t>
  </si>
  <si>
    <t xml:space="preserve">//host image URL rejected</t>
  </si>
  <si>
    <t xml:space="preserve">D09 regression</t>
  </si>
  <si>
    <t xml:space="preserve">AddCandidate_SingleCharacterName_IsRejected</t>
  </si>
  <si>
    <t xml:space="preserve">1-character name rejected</t>
  </si>
  <si>
    <t xml:space="preserve">D07 regression</t>
  </si>
  <si>
    <t xml:space="preserve">RegisterVoter_ValidInput_ShowsSuccess</t>
  </si>
  <si>
    <t xml:space="preserve">Register voter</t>
  </si>
  <si>
    <t xml:space="preserve">RegisterVoter_DuplicateEmail_ShowsError</t>
  </si>
  <si>
    <t xml:space="preserve">Duplicate voter email</t>
  </si>
  <si>
    <t xml:space="preserve">DeleteProgram_Unpublished_RemovesItFromTheDashboard</t>
  </si>
  <si>
    <t xml:space="preserve">Delete unpublished program (confirm dialog)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</si>
</sst>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5" min="3" style="0" width="10"/>
    <col collapsed="false" customWidth="true" hidden="false" outlineLevel="0" max="6" min="6" style="0" width="24"/>
    <col collapsed="false" customWidth="true" hidden="false" outlineLevel="0" max="8" min="7" style="0" width="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 t="n">
        <f aca="false">COUNTIF(TestCases!$C$4:$C$63,A5)</f>
        <v>20</v>
      </c>
      <c r="C5" s="4" t="n">
        <f aca="false">COUNTIFS(TestCases!$C$4:$C$63,A5,TestCases!$M$4:$M$63,"Pass")</f>
        <v>17</v>
      </c>
      <c r="D5" s="4" t="n">
        <f aca="false">COUNTIFS(TestCases!$C$4:$C$63,A5,TestCases!$M$4:$M$63,"Fail")</f>
        <v>3</v>
      </c>
      <c r="E5" s="4" t="n">
        <f aca="false">COUNTIFS(TestCases!$C$4:$C$63,A5,TestCases!$M$4:$M$63,"Blocked")</f>
        <v>0</v>
      </c>
      <c r="F5" s="4" t="n">
        <f aca="false">COUNTIFS(TestCases!$C$4:$C$63,A5,TestCases!$M$4:$M$63,"Not run")</f>
        <v>0</v>
      </c>
    </row>
    <row r="6" customFormat="false" ht="15" hidden="false" customHeight="false" outlineLevel="0" collapsed="false">
      <c r="A6" s="4" t="s">
        <v>9</v>
      </c>
      <c r="B6" s="4" t="n">
        <f aca="false">COUNTIF(TestCases!$C$4:$C$63,A6)</f>
        <v>20</v>
      </c>
      <c r="C6" s="4" t="n">
        <f aca="false">COUNTIFS(TestCases!$C$4:$C$63,A6,TestCases!$M$4:$M$63,"Pass")</f>
        <v>12</v>
      </c>
      <c r="D6" s="4" t="n">
        <f aca="false">COUNTIFS(TestCases!$C$4:$C$63,A6,TestCases!$M$4:$M$63,"Fail")</f>
        <v>8</v>
      </c>
      <c r="E6" s="4" t="n">
        <f aca="false">COUNTIFS(TestCases!$C$4:$C$63,A6,TestCases!$M$4:$M$63,"Blocked")</f>
        <v>0</v>
      </c>
      <c r="F6" s="4" t="n">
        <f aca="false">COUNTIFS(TestCases!$C$4:$C$63,A6,TestCases!$M$4:$M$63,"Not run")</f>
        <v>0</v>
      </c>
    </row>
    <row r="7" customFormat="false" ht="15" hidden="false" customHeight="false" outlineLevel="0" collapsed="false">
      <c r="A7" s="4" t="s">
        <v>10</v>
      </c>
      <c r="B7" s="4" t="n">
        <f aca="false">COUNTIF(TestCases!$C$4:$C$63,A7)</f>
        <v>20</v>
      </c>
      <c r="C7" s="4" t="n">
        <f aca="false">COUNTIFS(TestCases!$C$4:$C$63,A7,TestCases!$M$4:$M$63,"Pass")</f>
        <v>20</v>
      </c>
      <c r="D7" s="4" t="n">
        <f aca="false">COUNTIFS(TestCases!$C$4:$C$63,A7,TestCases!$M$4:$M$63,"Fail")</f>
        <v>0</v>
      </c>
      <c r="E7" s="4" t="n">
        <f aca="false">COUNTIFS(TestCases!$C$4:$C$63,A7,TestCases!$M$4:$M$63,"Blocked")</f>
        <v>0</v>
      </c>
      <c r="F7" s="4" t="n">
        <f aca="false">COUNTIFS(TestCases!$C$4:$C$63,A7,TestCases!$M$4:$M$63,"Not run")</f>
        <v>0</v>
      </c>
    </row>
    <row r="8" customFormat="false" ht="15" hidden="false" customHeight="false" outlineLevel="0" collapsed="false">
      <c r="A8" s="5" t="s">
        <v>11</v>
      </c>
      <c r="B8" s="5" t="n">
        <f aca="false">SUM(B5:B7)</f>
        <v>60</v>
      </c>
      <c r="C8" s="5" t="n">
        <f aca="false">SUM(C5:C7)</f>
        <v>49</v>
      </c>
      <c r="D8" s="5" t="n">
        <f aca="false">SUM(D5:D7)</f>
        <v>11</v>
      </c>
      <c r="E8" s="5" t="n">
        <f aca="false">SUM(E5:E7)</f>
        <v>0</v>
      </c>
      <c r="F8" s="5" t="n">
        <f aca="false">SUM(F5:F7)</f>
        <v>0</v>
      </c>
    </row>
    <row r="10" customFormat="false" ht="15" hidden="false" customHeight="false" outlineLevel="0" collapsed="false">
      <c r="A10" s="2" t="s">
        <v>12</v>
      </c>
    </row>
    <row r="11" customFormat="false" ht="15" hidden="false" customHeight="false" outlineLevel="0" collapsed="false">
      <c r="A11" s="3" t="s">
        <v>13</v>
      </c>
      <c r="B11" s="3" t="s">
        <v>14</v>
      </c>
    </row>
    <row r="12" customFormat="false" ht="15" hidden="false" customHeight="false" outlineLevel="0" collapsed="false">
      <c r="A12" s="4" t="s">
        <v>15</v>
      </c>
      <c r="B12" s="4" t="n">
        <f aca="false">COUNTIF(Defects!$C$4:$C$35,A12)</f>
        <v>1</v>
      </c>
    </row>
    <row r="13" customFormat="false" ht="15" hidden="false" customHeight="false" outlineLevel="0" collapsed="false">
      <c r="A13" s="4" t="s">
        <v>16</v>
      </c>
      <c r="B13" s="4" t="n">
        <f aca="false">COUNTIF(Defects!$C$4:$C$35,A13)</f>
        <v>9</v>
      </c>
    </row>
    <row r="14" customFormat="false" ht="15" hidden="false" customHeight="false" outlineLevel="0" collapsed="false">
      <c r="A14" s="4" t="s">
        <v>17</v>
      </c>
      <c r="B14" s="4" t="n">
        <f aca="false">COUNTIF(Defects!$C$4:$C$35,A14)</f>
        <v>7</v>
      </c>
    </row>
    <row r="15" customFormat="false" ht="15" hidden="false" customHeight="false" outlineLevel="0" collapsed="false">
      <c r="A15" s="4" t="s">
        <v>18</v>
      </c>
      <c r="B15" s="4" t="n">
        <f aca="false">COUNTIF(Defects!$C$4:$C$35,A15)</f>
        <v>15</v>
      </c>
    </row>
    <row r="16" customFormat="false" ht="15" hidden="false" customHeight="false" outlineLevel="0" collapsed="false">
      <c r="A16" s="5" t="s">
        <v>11</v>
      </c>
      <c r="B16" s="5" t="n">
        <f aca="false">SUM(B12:B15)</f>
        <v>32</v>
      </c>
    </row>
    <row r="18" customFormat="false" ht="15" hidden="false" customHeight="false" outlineLevel="0" collapsed="false">
      <c r="A18" s="2" t="s">
        <v>19</v>
      </c>
    </row>
    <row r="19" customFormat="false" ht="15" hidden="false" customHeight="false" outlineLevel="0" collapsed="false">
      <c r="A19" s="4" t="s">
        <v>20</v>
      </c>
      <c r="B19" s="4" t="n">
        <f aca="false">COUNTA(BasisPath!A5:A14)</f>
        <v>10</v>
      </c>
    </row>
    <row r="20" customFormat="false" ht="15" hidden="false" customHeight="false" outlineLevel="0" collapsed="false">
      <c r="A20" s="4" t="s">
        <v>21</v>
      </c>
      <c r="B20" s="4" t="n">
        <f aca="false">BasisPath!E15</f>
        <v>59</v>
      </c>
    </row>
    <row r="21" customFormat="false" ht="15" hidden="false" customHeight="false" outlineLevel="0" collapsed="false">
      <c r="A21" s="4" t="s">
        <v>22</v>
      </c>
      <c r="B21" s="4" t="n">
        <f aca="false">COUNTIF(BasisPath!G5:G14,"OK")</f>
        <v>10</v>
      </c>
    </row>
    <row r="23" customFormat="false" ht="15" hidden="false" customHeight="false" outlineLevel="0" collapsed="false">
      <c r="A23" s="2" t="s">
        <v>23</v>
      </c>
    </row>
    <row r="24" customFormat="false" ht="42" hidden="false" customHeight="true" outlineLevel="0" collapsed="false">
      <c r="A24" s="6" t="s">
        <v>24</v>
      </c>
      <c r="B24" s="6"/>
      <c r="C24" s="6"/>
      <c r="D24" s="6"/>
      <c r="E24" s="6"/>
      <c r="F24" s="6"/>
      <c r="G24" s="6"/>
      <c r="H24" s="6"/>
    </row>
    <row r="25" customFormat="false" ht="42" hidden="false" customHeight="true" outlineLevel="0" collapsed="false">
      <c r="A25" s="6" t="s">
        <v>25</v>
      </c>
      <c r="B25" s="6"/>
      <c r="C25" s="6"/>
      <c r="D25" s="6"/>
      <c r="E25" s="6"/>
      <c r="F25" s="6"/>
      <c r="G25" s="6"/>
      <c r="H25" s="6"/>
    </row>
    <row r="26" customFormat="false" ht="42" hidden="false" customHeight="true" outlineLevel="0" collapsed="false">
      <c r="A26" s="6" t="s">
        <v>26</v>
      </c>
      <c r="B26" s="6"/>
      <c r="C26" s="6"/>
      <c r="D26" s="6"/>
      <c r="E26" s="6"/>
      <c r="F26" s="6"/>
      <c r="G26" s="6"/>
      <c r="H26" s="6"/>
    </row>
    <row r="27" customFormat="false" ht="42" hidden="false" customHeight="true" outlineLevel="0" collapsed="false">
      <c r="A27" s="6" t="s">
        <v>27</v>
      </c>
      <c r="B27" s="6"/>
      <c r="C27" s="6"/>
      <c r="D27" s="6"/>
      <c r="E27" s="6"/>
      <c r="F27" s="6"/>
      <c r="G27" s="6"/>
      <c r="H27" s="6"/>
    </row>
    <row r="28" customFormat="false" ht="42" hidden="false" customHeight="true" outlineLevel="0" collapsed="false">
      <c r="A28" s="6" t="s">
        <v>28</v>
      </c>
      <c r="B28" s="6"/>
      <c r="C28" s="6"/>
      <c r="D28" s="6"/>
      <c r="E28" s="6"/>
      <c r="F28" s="6"/>
      <c r="G28" s="6"/>
      <c r="H28" s="6"/>
    </row>
    <row r="31" customFormat="false" ht="15" hidden="false" customHeight="false" outlineLevel="0" collapsed="false">
      <c r="A31" s="2" t="s">
        <v>29</v>
      </c>
    </row>
    <row r="32" customFormat="false" ht="15" hidden="false" customHeight="false" outlineLevel="0" collapsed="false">
      <c r="A32" s="3" t="s">
        <v>30</v>
      </c>
      <c r="B32" s="3" t="s">
        <v>11</v>
      </c>
      <c r="C32" s="3" t="s">
        <v>31</v>
      </c>
      <c r="D32" s="3" t="s">
        <v>32</v>
      </c>
      <c r="E32" s="3" t="s">
        <v>33</v>
      </c>
      <c r="F32" s="3" t="s">
        <v>34</v>
      </c>
    </row>
    <row r="33" customFormat="false" ht="15" hidden="false" customHeight="false" outlineLevel="0" collapsed="false">
      <c r="A33" s="4" t="s">
        <v>35</v>
      </c>
      <c r="B33" s="7" t="n">
        <v>104</v>
      </c>
      <c r="C33" s="7" t="n">
        <v>104</v>
      </c>
      <c r="D33" s="7" t="n">
        <v>0</v>
      </c>
      <c r="E33" s="7" t="n">
        <v>0</v>
      </c>
      <c r="F33" s="4" t="s">
        <v>36</v>
      </c>
    </row>
    <row r="34" customFormat="false" ht="15" hidden="false" customHeight="false" outlineLevel="0" collapsed="false">
      <c r="A34" s="4" t="s">
        <v>37</v>
      </c>
      <c r="B34" s="7" t="n">
        <v>24</v>
      </c>
      <c r="C34" s="7" t="n">
        <v>6</v>
      </c>
      <c r="D34" s="7" t="n">
        <v>18</v>
      </c>
      <c r="E34" s="7" t="n">
        <v>0</v>
      </c>
      <c r="F34" s="4" t="s">
        <v>38</v>
      </c>
    </row>
    <row r="35" customFormat="false" ht="15" hidden="false" customHeight="false" outlineLevel="0" collapsed="false">
      <c r="A35" s="4" t="s">
        <v>39</v>
      </c>
      <c r="B35" s="7" t="n">
        <v>11</v>
      </c>
      <c r="C35" s="7" t="n">
        <v>11</v>
      </c>
      <c r="D35" s="7" t="n">
        <v>0</v>
      </c>
      <c r="E35" s="7" t="n">
        <v>0</v>
      </c>
      <c r="F35" s="4" t="s">
        <v>40</v>
      </c>
    </row>
    <row r="36" customFormat="false" ht="15" hidden="false" customHeight="false" outlineLevel="0" collapsed="false">
      <c r="A36" s="5" t="s">
        <v>41</v>
      </c>
      <c r="B36" s="5" t="n">
        <f aca="false">B33+B34</f>
        <v>128</v>
      </c>
      <c r="C36" s="5" t="n">
        <f aca="false">C33+C34</f>
        <v>110</v>
      </c>
      <c r="D36" s="5" t="n">
        <f aca="false">D33+D34</f>
        <v>18</v>
      </c>
      <c r="E36" s="5" t="n">
        <f aca="false">E33+E34</f>
        <v>0</v>
      </c>
      <c r="F36" s="5"/>
    </row>
  </sheetData>
  <mergeCells count="5">
    <mergeCell ref="A24:H24"/>
    <mergeCell ref="A25:H25"/>
    <mergeCell ref="A26:H26"/>
    <mergeCell ref="A27:H27"/>
    <mergeCell ref="A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28"/>
    <col collapsed="false" customWidth="true" hidden="false" outlineLevel="0" max="6" min="6" style="0" width="34"/>
    <col collapsed="false" customWidth="true" hidden="false" outlineLevel="0" max="7" min="7" style="0" width="26"/>
    <col collapsed="false" customWidth="true" hidden="false" outlineLevel="0" max="8" min="8" style="0" width="34"/>
    <col collapsed="false" customWidth="true" hidden="false" outlineLevel="0" max="9" min="9" style="0" width="14"/>
    <col collapsed="false" customWidth="true" hidden="false" outlineLevel="0" max="10" min="10" style="0" width="52"/>
    <col collapsed="false" customWidth="true" hidden="false" outlineLevel="0" max="11" min="11" style="0" width="9"/>
    <col collapsed="false" customWidth="true" hidden="false" outlineLevel="0" max="12" min="12" style="0" width="34"/>
    <col collapsed="false" customWidth="true" hidden="false" outlineLevel="0" max="13" min="13" style="0" width="11"/>
    <col collapsed="false" customWidth="true" hidden="false" outlineLevel="0" max="15" min="14" style="0" width="13"/>
  </cols>
  <sheetData>
    <row r="1" customFormat="false" ht="17.35" hidden="false" customHeight="false" outlineLevel="0" collapsed="false">
      <c r="A1" s="1" t="s">
        <v>42</v>
      </c>
    </row>
    <row r="3" customFormat="false" ht="35.05" hidden="false" customHeight="false" outlineLevel="0" collapsed="false">
      <c r="A3" s="3" t="s">
        <v>43</v>
      </c>
      <c r="B3" s="3" t="s">
        <v>44</v>
      </c>
      <c r="C3" s="3" t="s">
        <v>2</v>
      </c>
      <c r="D3" s="3" t="s">
        <v>45</v>
      </c>
      <c r="E3" s="3" t="s">
        <v>46</v>
      </c>
      <c r="F3" s="3" t="s">
        <v>47</v>
      </c>
      <c r="G3" s="3" t="s">
        <v>48</v>
      </c>
      <c r="H3" s="3" t="s">
        <v>49</v>
      </c>
      <c r="I3" s="3" t="s">
        <v>50</v>
      </c>
      <c r="J3" s="3" t="s">
        <v>51</v>
      </c>
      <c r="K3" s="3" t="s">
        <v>52</v>
      </c>
      <c r="L3" s="3" t="s">
        <v>53</v>
      </c>
      <c r="M3" s="3" t="s">
        <v>54</v>
      </c>
      <c r="N3" s="3" t="s">
        <v>55</v>
      </c>
      <c r="O3" s="3" t="s">
        <v>56</v>
      </c>
    </row>
    <row r="4" customFormat="false" ht="23.85" hidden="false" customHeight="false" outlineLevel="0" collapsed="false">
      <c r="A4" s="4" t="s">
        <v>57</v>
      </c>
      <c r="B4" s="4" t="s">
        <v>58</v>
      </c>
      <c r="C4" s="4" t="s">
        <v>8</v>
      </c>
      <c r="D4" s="4" t="s">
        <v>16</v>
      </c>
      <c r="E4" s="4" t="s">
        <v>59</v>
      </c>
      <c r="F4" s="4" t="s">
        <v>60</v>
      </c>
      <c r="G4" s="4" t="s">
        <v>61</v>
      </c>
      <c r="H4" s="4" t="s">
        <v>62</v>
      </c>
      <c r="I4" s="4" t="s">
        <v>4</v>
      </c>
      <c r="J4" s="4" t="s">
        <v>63</v>
      </c>
      <c r="K4" s="4"/>
      <c r="L4" s="8" t="s">
        <v>64</v>
      </c>
      <c r="M4" s="8" t="s">
        <v>4</v>
      </c>
      <c r="N4" s="8" t="s">
        <v>65</v>
      </c>
      <c r="O4" s="8" t="s">
        <v>66</v>
      </c>
    </row>
    <row r="5" customFormat="false" ht="15" hidden="false" customHeight="false" outlineLevel="0" collapsed="false">
      <c r="A5" s="4" t="s">
        <v>67</v>
      </c>
      <c r="B5" s="4" t="s">
        <v>58</v>
      </c>
      <c r="C5" s="4" t="s">
        <v>8</v>
      </c>
      <c r="D5" s="4" t="s">
        <v>16</v>
      </c>
      <c r="E5" s="4" t="s">
        <v>59</v>
      </c>
      <c r="F5" s="4" t="s">
        <v>68</v>
      </c>
      <c r="G5" s="4" t="s">
        <v>61</v>
      </c>
      <c r="H5" s="4" t="s">
        <v>69</v>
      </c>
      <c r="I5" s="4" t="s">
        <v>4</v>
      </c>
      <c r="J5" s="4" t="s">
        <v>70</v>
      </c>
      <c r="K5" s="4"/>
      <c r="L5" s="8" t="s">
        <v>64</v>
      </c>
      <c r="M5" s="8" t="s">
        <v>4</v>
      </c>
      <c r="N5" s="8" t="s">
        <v>65</v>
      </c>
      <c r="O5" s="8" t="s">
        <v>66</v>
      </c>
    </row>
    <row r="6" customFormat="false" ht="15" hidden="false" customHeight="false" outlineLevel="0" collapsed="false">
      <c r="A6" s="4" t="s">
        <v>71</v>
      </c>
      <c r="B6" s="4" t="s">
        <v>58</v>
      </c>
      <c r="C6" s="4" t="s">
        <v>8</v>
      </c>
      <c r="D6" s="4" t="s">
        <v>17</v>
      </c>
      <c r="E6" s="4" t="s">
        <v>59</v>
      </c>
      <c r="F6" s="4" t="s">
        <v>72</v>
      </c>
      <c r="G6" s="4" t="s">
        <v>61</v>
      </c>
      <c r="H6" s="4" t="s">
        <v>69</v>
      </c>
      <c r="I6" s="4" t="s">
        <v>4</v>
      </c>
      <c r="J6" s="4" t="s">
        <v>73</v>
      </c>
      <c r="K6" s="4"/>
      <c r="L6" s="8" t="s">
        <v>64</v>
      </c>
      <c r="M6" s="8" t="s">
        <v>4</v>
      </c>
      <c r="N6" s="8" t="s">
        <v>65</v>
      </c>
      <c r="O6" s="8" t="s">
        <v>66</v>
      </c>
    </row>
    <row r="7" customFormat="false" ht="15" hidden="false" customHeight="false" outlineLevel="0" collapsed="false">
      <c r="A7" s="4" t="s">
        <v>74</v>
      </c>
      <c r="B7" s="4" t="s">
        <v>75</v>
      </c>
      <c r="C7" s="4" t="s">
        <v>8</v>
      </c>
      <c r="D7" s="4" t="s">
        <v>17</v>
      </c>
      <c r="E7" s="4" t="s">
        <v>76</v>
      </c>
      <c r="F7" s="4" t="s">
        <v>77</v>
      </c>
      <c r="G7" s="4" t="s">
        <v>78</v>
      </c>
      <c r="H7" s="4" t="s">
        <v>79</v>
      </c>
      <c r="I7" s="4" t="s">
        <v>4</v>
      </c>
      <c r="J7" s="4" t="s">
        <v>80</v>
      </c>
      <c r="K7" s="4"/>
      <c r="L7" s="8" t="s">
        <v>64</v>
      </c>
      <c r="M7" s="8" t="s">
        <v>4</v>
      </c>
      <c r="N7" s="8" t="s">
        <v>65</v>
      </c>
      <c r="O7" s="8" t="s">
        <v>66</v>
      </c>
    </row>
    <row r="8" customFormat="false" ht="15" hidden="false" customHeight="false" outlineLevel="0" collapsed="false">
      <c r="A8" s="4" t="s">
        <v>81</v>
      </c>
      <c r="B8" s="4" t="s">
        <v>75</v>
      </c>
      <c r="C8" s="4" t="s">
        <v>8</v>
      </c>
      <c r="D8" s="4" t="s">
        <v>17</v>
      </c>
      <c r="E8" s="4" t="s">
        <v>76</v>
      </c>
      <c r="F8" s="4" t="s">
        <v>82</v>
      </c>
      <c r="G8" s="4" t="s">
        <v>78</v>
      </c>
      <c r="H8" s="4" t="s">
        <v>83</v>
      </c>
      <c r="I8" s="4" t="s">
        <v>4</v>
      </c>
      <c r="J8" s="4" t="s">
        <v>84</v>
      </c>
      <c r="K8" s="4"/>
      <c r="L8" s="8" t="s">
        <v>64</v>
      </c>
      <c r="M8" s="8" t="s">
        <v>4</v>
      </c>
      <c r="N8" s="8" t="s">
        <v>65</v>
      </c>
      <c r="O8" s="8" t="s">
        <v>66</v>
      </c>
    </row>
    <row r="9" customFormat="false" ht="15" hidden="false" customHeight="false" outlineLevel="0" collapsed="false">
      <c r="A9" s="4" t="s">
        <v>85</v>
      </c>
      <c r="B9" s="4" t="s">
        <v>75</v>
      </c>
      <c r="C9" s="4" t="s">
        <v>8</v>
      </c>
      <c r="D9" s="4" t="s">
        <v>17</v>
      </c>
      <c r="E9" s="4" t="s">
        <v>76</v>
      </c>
      <c r="F9" s="4" t="s">
        <v>86</v>
      </c>
      <c r="G9" s="4" t="s">
        <v>78</v>
      </c>
      <c r="H9" s="4" t="s">
        <v>83</v>
      </c>
      <c r="I9" s="4" t="s">
        <v>4</v>
      </c>
      <c r="J9" s="4" t="s">
        <v>87</v>
      </c>
      <c r="K9" s="4"/>
      <c r="L9" s="8" t="s">
        <v>64</v>
      </c>
      <c r="M9" s="8" t="s">
        <v>4</v>
      </c>
      <c r="N9" s="8" t="s">
        <v>65</v>
      </c>
      <c r="O9" s="8" t="s">
        <v>66</v>
      </c>
    </row>
    <row r="10" customFormat="false" ht="15" hidden="false" customHeight="false" outlineLevel="0" collapsed="false">
      <c r="A10" s="4" t="s">
        <v>88</v>
      </c>
      <c r="B10" s="4" t="s">
        <v>75</v>
      </c>
      <c r="C10" s="4" t="s">
        <v>8</v>
      </c>
      <c r="D10" s="4" t="s">
        <v>17</v>
      </c>
      <c r="E10" s="4" t="s">
        <v>76</v>
      </c>
      <c r="F10" s="4" t="s">
        <v>89</v>
      </c>
      <c r="G10" s="4" t="s">
        <v>78</v>
      </c>
      <c r="H10" s="4" t="s">
        <v>90</v>
      </c>
      <c r="I10" s="4" t="s">
        <v>4</v>
      </c>
      <c r="J10" s="4" t="s">
        <v>91</v>
      </c>
      <c r="K10" s="4"/>
      <c r="L10" s="8" t="s">
        <v>64</v>
      </c>
      <c r="M10" s="8" t="s">
        <v>4</v>
      </c>
      <c r="N10" s="8" t="s">
        <v>65</v>
      </c>
      <c r="O10" s="8" t="s">
        <v>66</v>
      </c>
    </row>
    <row r="11" customFormat="false" ht="15" hidden="false" customHeight="false" outlineLevel="0" collapsed="false">
      <c r="A11" s="4" t="s">
        <v>92</v>
      </c>
      <c r="B11" s="4" t="s">
        <v>75</v>
      </c>
      <c r="C11" s="4" t="s">
        <v>8</v>
      </c>
      <c r="D11" s="4" t="s">
        <v>18</v>
      </c>
      <c r="E11" s="4" t="s">
        <v>76</v>
      </c>
      <c r="F11" s="4" t="s">
        <v>93</v>
      </c>
      <c r="G11" s="4" t="s">
        <v>78</v>
      </c>
      <c r="H11" s="4" t="s">
        <v>94</v>
      </c>
      <c r="I11" s="4" t="s">
        <v>4</v>
      </c>
      <c r="J11" s="4" t="s">
        <v>95</v>
      </c>
      <c r="K11" s="4"/>
      <c r="L11" s="8" t="s">
        <v>64</v>
      </c>
      <c r="M11" s="8" t="s">
        <v>4</v>
      </c>
      <c r="N11" s="8" t="s">
        <v>65</v>
      </c>
      <c r="O11" s="8" t="s">
        <v>66</v>
      </c>
    </row>
    <row r="12" customFormat="false" ht="23.85" hidden="false" customHeight="false" outlineLevel="0" collapsed="false">
      <c r="A12" s="4" t="s">
        <v>96</v>
      </c>
      <c r="B12" s="4" t="s">
        <v>97</v>
      </c>
      <c r="C12" s="4" t="s">
        <v>8</v>
      </c>
      <c r="D12" s="4" t="s">
        <v>18</v>
      </c>
      <c r="E12" s="4" t="s">
        <v>98</v>
      </c>
      <c r="F12" s="4" t="s">
        <v>99</v>
      </c>
      <c r="G12" s="4" t="s">
        <v>100</v>
      </c>
      <c r="H12" s="4" t="s">
        <v>101</v>
      </c>
      <c r="I12" s="4" t="s">
        <v>5</v>
      </c>
      <c r="J12" s="4" t="s">
        <v>102</v>
      </c>
      <c r="K12" s="4" t="s">
        <v>103</v>
      </c>
      <c r="L12" s="8" t="s">
        <v>104</v>
      </c>
      <c r="M12" s="8" t="s">
        <v>4</v>
      </c>
      <c r="N12" s="8" t="s">
        <v>65</v>
      </c>
      <c r="O12" s="8" t="s">
        <v>66</v>
      </c>
    </row>
    <row r="13" customFormat="false" ht="23.85" hidden="false" customHeight="false" outlineLevel="0" collapsed="false">
      <c r="A13" s="4" t="s">
        <v>105</v>
      </c>
      <c r="B13" s="4" t="s">
        <v>97</v>
      </c>
      <c r="C13" s="4" t="s">
        <v>8</v>
      </c>
      <c r="D13" s="4" t="s">
        <v>17</v>
      </c>
      <c r="E13" s="4" t="s">
        <v>98</v>
      </c>
      <c r="F13" s="4" t="s">
        <v>106</v>
      </c>
      <c r="G13" s="4" t="s">
        <v>100</v>
      </c>
      <c r="H13" s="4" t="s">
        <v>107</v>
      </c>
      <c r="I13" s="4" t="s">
        <v>4</v>
      </c>
      <c r="J13" s="4" t="s">
        <v>108</v>
      </c>
      <c r="K13" s="4"/>
      <c r="L13" s="8" t="s">
        <v>64</v>
      </c>
      <c r="M13" s="8" t="s">
        <v>4</v>
      </c>
      <c r="N13" s="8" t="s">
        <v>65</v>
      </c>
      <c r="O13" s="8" t="s">
        <v>66</v>
      </c>
    </row>
    <row r="14" customFormat="false" ht="23.85" hidden="false" customHeight="false" outlineLevel="0" collapsed="false">
      <c r="A14" s="4" t="s">
        <v>109</v>
      </c>
      <c r="B14" s="4" t="s">
        <v>97</v>
      </c>
      <c r="C14" s="4" t="s">
        <v>8</v>
      </c>
      <c r="D14" s="4" t="s">
        <v>17</v>
      </c>
      <c r="E14" s="4" t="s">
        <v>98</v>
      </c>
      <c r="F14" s="4" t="s">
        <v>110</v>
      </c>
      <c r="G14" s="4" t="s">
        <v>100</v>
      </c>
      <c r="H14" s="4" t="s">
        <v>107</v>
      </c>
      <c r="I14" s="4" t="s">
        <v>4</v>
      </c>
      <c r="J14" s="4" t="s">
        <v>111</v>
      </c>
      <c r="K14" s="4"/>
      <c r="L14" s="8" t="s">
        <v>64</v>
      </c>
      <c r="M14" s="8" t="s">
        <v>4</v>
      </c>
      <c r="N14" s="8" t="s">
        <v>65</v>
      </c>
      <c r="O14" s="8" t="s">
        <v>66</v>
      </c>
    </row>
    <row r="15" customFormat="false" ht="23.85" hidden="false" customHeight="false" outlineLevel="0" collapsed="false">
      <c r="A15" s="4" t="s">
        <v>112</v>
      </c>
      <c r="B15" s="4" t="s">
        <v>97</v>
      </c>
      <c r="C15" s="4" t="s">
        <v>8</v>
      </c>
      <c r="D15" s="4" t="s">
        <v>18</v>
      </c>
      <c r="E15" s="4" t="s">
        <v>98</v>
      </c>
      <c r="F15" s="4" t="s">
        <v>113</v>
      </c>
      <c r="G15" s="4" t="s">
        <v>100</v>
      </c>
      <c r="H15" s="4" t="s">
        <v>114</v>
      </c>
      <c r="I15" s="4" t="s">
        <v>5</v>
      </c>
      <c r="J15" s="4" t="s">
        <v>115</v>
      </c>
      <c r="K15" s="4" t="s">
        <v>116</v>
      </c>
      <c r="L15" s="8" t="s">
        <v>117</v>
      </c>
      <c r="M15" s="8" t="s">
        <v>4</v>
      </c>
      <c r="N15" s="8" t="s">
        <v>65</v>
      </c>
      <c r="O15" s="8" t="s">
        <v>66</v>
      </c>
    </row>
    <row r="16" customFormat="false" ht="23.85" hidden="false" customHeight="false" outlineLevel="0" collapsed="false">
      <c r="A16" s="4" t="s">
        <v>118</v>
      </c>
      <c r="B16" s="4" t="s">
        <v>97</v>
      </c>
      <c r="C16" s="4" t="s">
        <v>8</v>
      </c>
      <c r="D16" s="4" t="s">
        <v>18</v>
      </c>
      <c r="E16" s="4" t="s">
        <v>98</v>
      </c>
      <c r="F16" s="4" t="s">
        <v>119</v>
      </c>
      <c r="G16" s="4" t="s">
        <v>100</v>
      </c>
      <c r="H16" s="4" t="s">
        <v>114</v>
      </c>
      <c r="I16" s="4" t="s">
        <v>5</v>
      </c>
      <c r="J16" s="4" t="s">
        <v>120</v>
      </c>
      <c r="K16" s="4" t="s">
        <v>116</v>
      </c>
      <c r="L16" s="8" t="s">
        <v>121</v>
      </c>
      <c r="M16" s="8" t="s">
        <v>5</v>
      </c>
      <c r="N16" s="8" t="s">
        <v>65</v>
      </c>
      <c r="O16" s="8" t="s">
        <v>66</v>
      </c>
    </row>
    <row r="17" customFormat="false" ht="23.85" hidden="false" customHeight="false" outlineLevel="0" collapsed="false">
      <c r="A17" s="4" t="s">
        <v>122</v>
      </c>
      <c r="B17" s="4" t="s">
        <v>97</v>
      </c>
      <c r="C17" s="4" t="s">
        <v>8</v>
      </c>
      <c r="D17" s="4" t="s">
        <v>18</v>
      </c>
      <c r="E17" s="4" t="s">
        <v>98</v>
      </c>
      <c r="F17" s="4" t="s">
        <v>123</v>
      </c>
      <c r="G17" s="4" t="s">
        <v>100</v>
      </c>
      <c r="H17" s="4" t="s">
        <v>114</v>
      </c>
      <c r="I17" s="4" t="s">
        <v>5</v>
      </c>
      <c r="J17" s="4" t="s">
        <v>124</v>
      </c>
      <c r="K17" s="4" t="s">
        <v>116</v>
      </c>
      <c r="L17" s="8" t="s">
        <v>121</v>
      </c>
      <c r="M17" s="8" t="s">
        <v>5</v>
      </c>
      <c r="N17" s="8" t="s">
        <v>65</v>
      </c>
      <c r="O17" s="8" t="s">
        <v>66</v>
      </c>
    </row>
    <row r="18" customFormat="false" ht="23.85" hidden="false" customHeight="false" outlineLevel="0" collapsed="false">
      <c r="A18" s="4" t="s">
        <v>125</v>
      </c>
      <c r="B18" s="4" t="s">
        <v>97</v>
      </c>
      <c r="C18" s="4" t="s">
        <v>8</v>
      </c>
      <c r="D18" s="4" t="s">
        <v>18</v>
      </c>
      <c r="E18" s="4" t="s">
        <v>98</v>
      </c>
      <c r="F18" s="4" t="s">
        <v>126</v>
      </c>
      <c r="G18" s="4" t="s">
        <v>100</v>
      </c>
      <c r="H18" s="4" t="s">
        <v>114</v>
      </c>
      <c r="I18" s="4" t="s">
        <v>5</v>
      </c>
      <c r="J18" s="4" t="s">
        <v>127</v>
      </c>
      <c r="K18" s="4" t="s">
        <v>116</v>
      </c>
      <c r="L18" s="8" t="s">
        <v>121</v>
      </c>
      <c r="M18" s="8" t="s">
        <v>5</v>
      </c>
      <c r="N18" s="8" t="s">
        <v>65</v>
      </c>
      <c r="O18" s="8" t="s">
        <v>66</v>
      </c>
    </row>
    <row r="19" customFormat="false" ht="15" hidden="false" customHeight="false" outlineLevel="0" collapsed="false">
      <c r="A19" s="4" t="s">
        <v>128</v>
      </c>
      <c r="B19" s="4" t="s">
        <v>129</v>
      </c>
      <c r="C19" s="4" t="s">
        <v>8</v>
      </c>
      <c r="D19" s="4" t="s">
        <v>17</v>
      </c>
      <c r="E19" s="4" t="s">
        <v>130</v>
      </c>
      <c r="F19" s="4" t="s">
        <v>131</v>
      </c>
      <c r="G19" s="4" t="s">
        <v>132</v>
      </c>
      <c r="H19" s="4" t="s">
        <v>133</v>
      </c>
      <c r="I19" s="4" t="s">
        <v>4</v>
      </c>
      <c r="J19" s="4" t="s">
        <v>134</v>
      </c>
      <c r="K19" s="4"/>
      <c r="L19" s="8" t="s">
        <v>64</v>
      </c>
      <c r="M19" s="8" t="s">
        <v>4</v>
      </c>
      <c r="N19" s="8" t="s">
        <v>65</v>
      </c>
      <c r="O19" s="8" t="s">
        <v>66</v>
      </c>
    </row>
    <row r="20" customFormat="false" ht="23.85" hidden="false" customHeight="false" outlineLevel="0" collapsed="false">
      <c r="A20" s="4" t="s">
        <v>135</v>
      </c>
      <c r="B20" s="4" t="s">
        <v>129</v>
      </c>
      <c r="C20" s="4" t="s">
        <v>8</v>
      </c>
      <c r="D20" s="4" t="s">
        <v>17</v>
      </c>
      <c r="E20" s="4" t="s">
        <v>130</v>
      </c>
      <c r="F20" s="4" t="s">
        <v>136</v>
      </c>
      <c r="G20" s="4" t="s">
        <v>137</v>
      </c>
      <c r="H20" s="4" t="s">
        <v>133</v>
      </c>
      <c r="I20" s="4" t="s">
        <v>4</v>
      </c>
      <c r="J20" s="4" t="s">
        <v>138</v>
      </c>
      <c r="K20" s="4"/>
      <c r="L20" s="8" t="s">
        <v>64</v>
      </c>
      <c r="M20" s="8" t="s">
        <v>4</v>
      </c>
      <c r="N20" s="8" t="s">
        <v>65</v>
      </c>
      <c r="O20" s="8" t="s">
        <v>66</v>
      </c>
    </row>
    <row r="21" customFormat="false" ht="23.85" hidden="false" customHeight="false" outlineLevel="0" collapsed="false">
      <c r="A21" s="4" t="s">
        <v>139</v>
      </c>
      <c r="B21" s="4" t="s">
        <v>129</v>
      </c>
      <c r="C21" s="4" t="s">
        <v>8</v>
      </c>
      <c r="D21" s="4" t="s">
        <v>18</v>
      </c>
      <c r="E21" s="4" t="s">
        <v>130</v>
      </c>
      <c r="F21" s="4" t="s">
        <v>140</v>
      </c>
      <c r="G21" s="4" t="s">
        <v>137</v>
      </c>
      <c r="H21" s="4" t="s">
        <v>133</v>
      </c>
      <c r="I21" s="4" t="s">
        <v>4</v>
      </c>
      <c r="J21" s="4" t="s">
        <v>141</v>
      </c>
      <c r="K21" s="4"/>
      <c r="L21" s="8" t="s">
        <v>64</v>
      </c>
      <c r="M21" s="8" t="s">
        <v>4</v>
      </c>
      <c r="N21" s="8" t="s">
        <v>65</v>
      </c>
      <c r="O21" s="8" t="s">
        <v>66</v>
      </c>
    </row>
    <row r="22" customFormat="false" ht="15" hidden="false" customHeight="false" outlineLevel="0" collapsed="false">
      <c r="A22" s="4" t="s">
        <v>142</v>
      </c>
      <c r="B22" s="4" t="s">
        <v>143</v>
      </c>
      <c r="C22" s="4" t="s">
        <v>8</v>
      </c>
      <c r="D22" s="4" t="s">
        <v>18</v>
      </c>
      <c r="E22" s="4" t="s">
        <v>144</v>
      </c>
      <c r="F22" s="4" t="s">
        <v>145</v>
      </c>
      <c r="G22" s="4" t="s">
        <v>146</v>
      </c>
      <c r="H22" s="4" t="s">
        <v>133</v>
      </c>
      <c r="I22" s="4" t="s">
        <v>4</v>
      </c>
      <c r="J22" s="4" t="s">
        <v>147</v>
      </c>
      <c r="K22" s="4"/>
      <c r="L22" s="8" t="s">
        <v>64</v>
      </c>
      <c r="M22" s="8" t="s">
        <v>4</v>
      </c>
      <c r="N22" s="8" t="s">
        <v>65</v>
      </c>
      <c r="O22" s="8" t="s">
        <v>66</v>
      </c>
    </row>
    <row r="23" customFormat="false" ht="23.85" hidden="false" customHeight="false" outlineLevel="0" collapsed="false">
      <c r="A23" s="4" t="s">
        <v>148</v>
      </c>
      <c r="B23" s="4" t="s">
        <v>149</v>
      </c>
      <c r="C23" s="4" t="s">
        <v>8</v>
      </c>
      <c r="D23" s="4" t="s">
        <v>16</v>
      </c>
      <c r="E23" s="4" t="s">
        <v>150</v>
      </c>
      <c r="F23" s="4" t="s">
        <v>151</v>
      </c>
      <c r="G23" s="4" t="s">
        <v>152</v>
      </c>
      <c r="H23" s="4" t="s">
        <v>153</v>
      </c>
      <c r="I23" s="4" t="s">
        <v>4</v>
      </c>
      <c r="J23" s="4" t="s">
        <v>154</v>
      </c>
      <c r="K23" s="4"/>
      <c r="L23" s="8" t="s">
        <v>64</v>
      </c>
      <c r="M23" s="8" t="s">
        <v>4</v>
      </c>
      <c r="N23" s="8" t="s">
        <v>65</v>
      </c>
      <c r="O23" s="8" t="s">
        <v>66</v>
      </c>
    </row>
    <row r="24" customFormat="false" ht="15" hidden="false" customHeight="false" outlineLevel="0" collapsed="false">
      <c r="A24" s="4" t="s">
        <v>155</v>
      </c>
      <c r="B24" s="4" t="s">
        <v>143</v>
      </c>
      <c r="C24" s="4" t="s">
        <v>9</v>
      </c>
      <c r="D24" s="4" t="s">
        <v>16</v>
      </c>
      <c r="E24" s="4" t="s">
        <v>156</v>
      </c>
      <c r="F24" s="4" t="s">
        <v>157</v>
      </c>
      <c r="G24" s="4" t="s">
        <v>146</v>
      </c>
      <c r="H24" s="4" t="s">
        <v>158</v>
      </c>
      <c r="I24" s="4" t="s">
        <v>4</v>
      </c>
      <c r="J24" s="4" t="s">
        <v>159</v>
      </c>
      <c r="K24" s="4"/>
      <c r="L24" s="8" t="s">
        <v>64</v>
      </c>
      <c r="M24" s="8" t="s">
        <v>4</v>
      </c>
      <c r="N24" s="8" t="s">
        <v>65</v>
      </c>
      <c r="O24" s="8" t="s">
        <v>66</v>
      </c>
    </row>
    <row r="25" customFormat="false" ht="15" hidden="false" customHeight="false" outlineLevel="0" collapsed="false">
      <c r="A25" s="4" t="s">
        <v>160</v>
      </c>
      <c r="B25" s="4" t="s">
        <v>143</v>
      </c>
      <c r="C25" s="4" t="s">
        <v>9</v>
      </c>
      <c r="D25" s="4" t="s">
        <v>16</v>
      </c>
      <c r="E25" s="4" t="s">
        <v>161</v>
      </c>
      <c r="F25" s="4" t="s">
        <v>162</v>
      </c>
      <c r="G25" s="4" t="s">
        <v>146</v>
      </c>
      <c r="H25" s="4" t="s">
        <v>158</v>
      </c>
      <c r="I25" s="4" t="s">
        <v>4</v>
      </c>
      <c r="J25" s="4" t="s">
        <v>163</v>
      </c>
      <c r="K25" s="4"/>
      <c r="L25" s="8" t="s">
        <v>64</v>
      </c>
      <c r="M25" s="8" t="s">
        <v>4</v>
      </c>
      <c r="N25" s="8" t="s">
        <v>65</v>
      </c>
      <c r="O25" s="8" t="s">
        <v>66</v>
      </c>
    </row>
    <row r="26" customFormat="false" ht="15" hidden="false" customHeight="false" outlineLevel="0" collapsed="false">
      <c r="A26" s="4" t="s">
        <v>164</v>
      </c>
      <c r="B26" s="4" t="s">
        <v>165</v>
      </c>
      <c r="C26" s="4" t="s">
        <v>9</v>
      </c>
      <c r="D26" s="4" t="s">
        <v>16</v>
      </c>
      <c r="E26" s="4" t="s">
        <v>161</v>
      </c>
      <c r="F26" s="4" t="s">
        <v>166</v>
      </c>
      <c r="G26" s="4" t="s">
        <v>167</v>
      </c>
      <c r="H26" s="4" t="s">
        <v>168</v>
      </c>
      <c r="I26" s="4" t="s">
        <v>4</v>
      </c>
      <c r="J26" s="4" t="s">
        <v>169</v>
      </c>
      <c r="K26" s="4"/>
      <c r="L26" s="8" t="s">
        <v>64</v>
      </c>
      <c r="M26" s="8" t="s">
        <v>4</v>
      </c>
      <c r="N26" s="8" t="s">
        <v>65</v>
      </c>
      <c r="O26" s="8" t="s">
        <v>66</v>
      </c>
    </row>
    <row r="27" customFormat="false" ht="15" hidden="false" customHeight="false" outlineLevel="0" collapsed="false">
      <c r="A27" s="4" t="s">
        <v>170</v>
      </c>
      <c r="B27" s="4" t="s">
        <v>171</v>
      </c>
      <c r="C27" s="4" t="s">
        <v>9</v>
      </c>
      <c r="D27" s="4" t="s">
        <v>16</v>
      </c>
      <c r="E27" s="4" t="s">
        <v>172</v>
      </c>
      <c r="F27" s="4" t="s">
        <v>173</v>
      </c>
      <c r="G27" s="4" t="s">
        <v>174</v>
      </c>
      <c r="H27" s="4" t="s">
        <v>175</v>
      </c>
      <c r="I27" s="4" t="s">
        <v>4</v>
      </c>
      <c r="J27" s="4" t="s">
        <v>176</v>
      </c>
      <c r="K27" s="4"/>
      <c r="L27" s="8" t="s">
        <v>64</v>
      </c>
      <c r="M27" s="8" t="s">
        <v>4</v>
      </c>
      <c r="N27" s="8" t="s">
        <v>65</v>
      </c>
      <c r="O27" s="8" t="s">
        <v>66</v>
      </c>
    </row>
    <row r="28" customFormat="false" ht="15" hidden="false" customHeight="false" outlineLevel="0" collapsed="false">
      <c r="A28" s="4" t="s">
        <v>177</v>
      </c>
      <c r="B28" s="4" t="s">
        <v>178</v>
      </c>
      <c r="C28" s="4" t="s">
        <v>9</v>
      </c>
      <c r="D28" s="4" t="s">
        <v>17</v>
      </c>
      <c r="E28" s="4" t="s">
        <v>179</v>
      </c>
      <c r="F28" s="4" t="s">
        <v>180</v>
      </c>
      <c r="G28" s="4" t="s">
        <v>181</v>
      </c>
      <c r="H28" s="4" t="s">
        <v>182</v>
      </c>
      <c r="I28" s="4" t="s">
        <v>4</v>
      </c>
      <c r="J28" s="4" t="s">
        <v>183</v>
      </c>
      <c r="K28" s="4"/>
      <c r="L28" s="8" t="s">
        <v>64</v>
      </c>
      <c r="M28" s="8" t="s">
        <v>4</v>
      </c>
      <c r="N28" s="8" t="s">
        <v>65</v>
      </c>
      <c r="O28" s="8" t="s">
        <v>66</v>
      </c>
    </row>
    <row r="29" customFormat="false" ht="15" hidden="false" customHeight="false" outlineLevel="0" collapsed="false">
      <c r="A29" s="4" t="s">
        <v>184</v>
      </c>
      <c r="B29" s="4" t="s">
        <v>97</v>
      </c>
      <c r="C29" s="4" t="s">
        <v>9</v>
      </c>
      <c r="D29" s="4" t="s">
        <v>17</v>
      </c>
      <c r="E29" s="4" t="s">
        <v>157</v>
      </c>
      <c r="F29" s="4" t="s">
        <v>185</v>
      </c>
      <c r="G29" s="4" t="s">
        <v>100</v>
      </c>
      <c r="H29" s="4" t="s">
        <v>107</v>
      </c>
      <c r="I29" s="4" t="s">
        <v>4</v>
      </c>
      <c r="J29" s="4" t="s">
        <v>186</v>
      </c>
      <c r="K29" s="4"/>
      <c r="L29" s="8" t="s">
        <v>64</v>
      </c>
      <c r="M29" s="8" t="s">
        <v>4</v>
      </c>
      <c r="N29" s="8" t="s">
        <v>65</v>
      </c>
      <c r="O29" s="8" t="s">
        <v>66</v>
      </c>
    </row>
    <row r="30" customFormat="false" ht="15" hidden="false" customHeight="false" outlineLevel="0" collapsed="false">
      <c r="A30" s="4" t="s">
        <v>187</v>
      </c>
      <c r="B30" s="4" t="s">
        <v>97</v>
      </c>
      <c r="C30" s="4" t="s">
        <v>9</v>
      </c>
      <c r="D30" s="4" t="s">
        <v>17</v>
      </c>
      <c r="E30" s="4" t="s">
        <v>157</v>
      </c>
      <c r="F30" s="4" t="s">
        <v>188</v>
      </c>
      <c r="G30" s="4" t="s">
        <v>100</v>
      </c>
      <c r="H30" s="4" t="s">
        <v>107</v>
      </c>
      <c r="I30" s="4" t="s">
        <v>4</v>
      </c>
      <c r="J30" s="4" t="s">
        <v>189</v>
      </c>
      <c r="K30" s="4"/>
      <c r="L30" s="8" t="s">
        <v>64</v>
      </c>
      <c r="M30" s="8" t="s">
        <v>4</v>
      </c>
      <c r="N30" s="8" t="s">
        <v>65</v>
      </c>
      <c r="O30" s="8" t="s">
        <v>66</v>
      </c>
    </row>
    <row r="31" customFormat="false" ht="15" hidden="false" customHeight="false" outlineLevel="0" collapsed="false">
      <c r="A31" s="4" t="s">
        <v>190</v>
      </c>
      <c r="B31" s="4" t="s">
        <v>97</v>
      </c>
      <c r="C31" s="4" t="s">
        <v>9</v>
      </c>
      <c r="D31" s="4" t="s">
        <v>17</v>
      </c>
      <c r="E31" s="4" t="s">
        <v>157</v>
      </c>
      <c r="F31" s="4" t="s">
        <v>191</v>
      </c>
      <c r="G31" s="4" t="s">
        <v>100</v>
      </c>
      <c r="H31" s="4" t="s">
        <v>107</v>
      </c>
      <c r="I31" s="4" t="s">
        <v>4</v>
      </c>
      <c r="J31" s="4" t="s">
        <v>192</v>
      </c>
      <c r="K31" s="4"/>
      <c r="L31" s="8" t="s">
        <v>64</v>
      </c>
      <c r="M31" s="8" t="s">
        <v>4</v>
      </c>
      <c r="N31" s="8" t="s">
        <v>65</v>
      </c>
      <c r="O31" s="8" t="s">
        <v>66</v>
      </c>
    </row>
    <row r="32" customFormat="false" ht="23.85" hidden="false" customHeight="false" outlineLevel="0" collapsed="false">
      <c r="A32" s="4" t="s">
        <v>193</v>
      </c>
      <c r="B32" s="4" t="s">
        <v>97</v>
      </c>
      <c r="C32" s="4" t="s">
        <v>9</v>
      </c>
      <c r="D32" s="4" t="s">
        <v>17</v>
      </c>
      <c r="E32" s="4" t="s">
        <v>157</v>
      </c>
      <c r="F32" s="4" t="s">
        <v>194</v>
      </c>
      <c r="G32" s="4" t="s">
        <v>100</v>
      </c>
      <c r="H32" s="4" t="s">
        <v>195</v>
      </c>
      <c r="I32" s="4" t="s">
        <v>5</v>
      </c>
      <c r="J32" s="4" t="s">
        <v>196</v>
      </c>
      <c r="K32" s="4" t="s">
        <v>197</v>
      </c>
      <c r="L32" s="8" t="s">
        <v>198</v>
      </c>
      <c r="M32" s="8" t="s">
        <v>4</v>
      </c>
      <c r="N32" s="8" t="s">
        <v>65</v>
      </c>
      <c r="O32" s="8" t="s">
        <v>66</v>
      </c>
    </row>
    <row r="33" customFormat="false" ht="15" hidden="false" customHeight="false" outlineLevel="0" collapsed="false">
      <c r="A33" s="4" t="s">
        <v>199</v>
      </c>
      <c r="B33" s="4" t="s">
        <v>97</v>
      </c>
      <c r="C33" s="4" t="s">
        <v>9</v>
      </c>
      <c r="D33" s="4" t="s">
        <v>16</v>
      </c>
      <c r="E33" s="4" t="s">
        <v>157</v>
      </c>
      <c r="F33" s="4" t="s">
        <v>200</v>
      </c>
      <c r="G33" s="4" t="s">
        <v>100</v>
      </c>
      <c r="H33" s="4" t="s">
        <v>195</v>
      </c>
      <c r="I33" s="4" t="s">
        <v>4</v>
      </c>
      <c r="J33" s="4" t="s">
        <v>201</v>
      </c>
      <c r="K33" s="4"/>
      <c r="L33" s="8" t="s">
        <v>64</v>
      </c>
      <c r="M33" s="8" t="s">
        <v>4</v>
      </c>
      <c r="N33" s="8" t="s">
        <v>65</v>
      </c>
      <c r="O33" s="8" t="s">
        <v>66</v>
      </c>
    </row>
    <row r="34" customFormat="false" ht="15" hidden="false" customHeight="false" outlineLevel="0" collapsed="false">
      <c r="A34" s="4" t="s">
        <v>202</v>
      </c>
      <c r="B34" s="4" t="s">
        <v>97</v>
      </c>
      <c r="C34" s="4" t="s">
        <v>9</v>
      </c>
      <c r="D34" s="4" t="s">
        <v>17</v>
      </c>
      <c r="E34" s="4" t="s">
        <v>157</v>
      </c>
      <c r="F34" s="4" t="s">
        <v>203</v>
      </c>
      <c r="G34" s="4" t="s">
        <v>100</v>
      </c>
      <c r="H34" s="4" t="s">
        <v>195</v>
      </c>
      <c r="I34" s="4" t="s">
        <v>4</v>
      </c>
      <c r="J34" s="4" t="s">
        <v>204</v>
      </c>
      <c r="K34" s="4"/>
      <c r="L34" s="8" t="s">
        <v>64</v>
      </c>
      <c r="M34" s="8" t="s">
        <v>4</v>
      </c>
      <c r="N34" s="8" t="s">
        <v>65</v>
      </c>
      <c r="O34" s="8" t="s">
        <v>66</v>
      </c>
    </row>
    <row r="35" customFormat="false" ht="15" hidden="false" customHeight="false" outlineLevel="0" collapsed="false">
      <c r="A35" s="4" t="s">
        <v>205</v>
      </c>
      <c r="B35" s="4" t="s">
        <v>97</v>
      </c>
      <c r="C35" s="4" t="s">
        <v>9</v>
      </c>
      <c r="D35" s="4" t="s">
        <v>17</v>
      </c>
      <c r="E35" s="4" t="s">
        <v>206</v>
      </c>
      <c r="F35" s="4" t="s">
        <v>207</v>
      </c>
      <c r="G35" s="4" t="s">
        <v>100</v>
      </c>
      <c r="H35" s="4" t="s">
        <v>208</v>
      </c>
      <c r="I35" s="4" t="s">
        <v>4</v>
      </c>
      <c r="J35" s="4" t="s">
        <v>209</v>
      </c>
      <c r="K35" s="4"/>
      <c r="L35" s="8" t="s">
        <v>64</v>
      </c>
      <c r="M35" s="8" t="s">
        <v>4</v>
      </c>
      <c r="N35" s="8" t="s">
        <v>65</v>
      </c>
      <c r="O35" s="8" t="s">
        <v>66</v>
      </c>
    </row>
    <row r="36" customFormat="false" ht="23.85" hidden="false" customHeight="false" outlineLevel="0" collapsed="false">
      <c r="A36" s="4" t="s">
        <v>210</v>
      </c>
      <c r="B36" s="4" t="s">
        <v>97</v>
      </c>
      <c r="C36" s="4" t="s">
        <v>9</v>
      </c>
      <c r="D36" s="4" t="s">
        <v>18</v>
      </c>
      <c r="E36" s="4" t="s">
        <v>206</v>
      </c>
      <c r="F36" s="4" t="s">
        <v>211</v>
      </c>
      <c r="G36" s="4" t="s">
        <v>100</v>
      </c>
      <c r="H36" s="4" t="s">
        <v>208</v>
      </c>
      <c r="I36" s="4" t="s">
        <v>5</v>
      </c>
      <c r="J36" s="4" t="s">
        <v>212</v>
      </c>
      <c r="K36" s="4" t="s">
        <v>213</v>
      </c>
      <c r="L36" s="8" t="s">
        <v>214</v>
      </c>
      <c r="M36" s="8" t="s">
        <v>5</v>
      </c>
      <c r="N36" s="8" t="s">
        <v>65</v>
      </c>
      <c r="O36" s="8" t="s">
        <v>66</v>
      </c>
    </row>
    <row r="37" customFormat="false" ht="23.85" hidden="false" customHeight="false" outlineLevel="0" collapsed="false">
      <c r="A37" s="4" t="s">
        <v>215</v>
      </c>
      <c r="B37" s="4" t="s">
        <v>97</v>
      </c>
      <c r="C37" s="4" t="s">
        <v>9</v>
      </c>
      <c r="D37" s="4" t="s">
        <v>16</v>
      </c>
      <c r="E37" s="4" t="s">
        <v>216</v>
      </c>
      <c r="F37" s="4" t="s">
        <v>217</v>
      </c>
      <c r="G37" s="4" t="s">
        <v>100</v>
      </c>
      <c r="H37" s="4" t="s">
        <v>218</v>
      </c>
      <c r="I37" s="4" t="s">
        <v>5</v>
      </c>
      <c r="J37" s="4" t="s">
        <v>219</v>
      </c>
      <c r="K37" s="4" t="s">
        <v>220</v>
      </c>
      <c r="L37" s="8" t="s">
        <v>221</v>
      </c>
      <c r="M37" s="8" t="s">
        <v>5</v>
      </c>
      <c r="N37" s="8" t="s">
        <v>65</v>
      </c>
      <c r="O37" s="8" t="s">
        <v>66</v>
      </c>
    </row>
    <row r="38" customFormat="false" ht="23.85" hidden="false" customHeight="false" outlineLevel="0" collapsed="false">
      <c r="A38" s="4" t="s">
        <v>222</v>
      </c>
      <c r="B38" s="4" t="s">
        <v>97</v>
      </c>
      <c r="C38" s="4" t="s">
        <v>9</v>
      </c>
      <c r="D38" s="4" t="s">
        <v>16</v>
      </c>
      <c r="E38" s="4" t="s">
        <v>223</v>
      </c>
      <c r="F38" s="4" t="s">
        <v>217</v>
      </c>
      <c r="G38" s="4" t="s">
        <v>100</v>
      </c>
      <c r="H38" s="4" t="s">
        <v>195</v>
      </c>
      <c r="I38" s="4" t="s">
        <v>5</v>
      </c>
      <c r="J38" s="4" t="s">
        <v>224</v>
      </c>
      <c r="K38" s="4" t="s">
        <v>220</v>
      </c>
      <c r="L38" s="8" t="s">
        <v>221</v>
      </c>
      <c r="M38" s="8" t="s">
        <v>5</v>
      </c>
      <c r="N38" s="8" t="s">
        <v>65</v>
      </c>
      <c r="O38" s="8" t="s">
        <v>66</v>
      </c>
    </row>
    <row r="39" customFormat="false" ht="23.85" hidden="false" customHeight="false" outlineLevel="0" collapsed="false">
      <c r="A39" s="4" t="s">
        <v>225</v>
      </c>
      <c r="B39" s="4" t="s">
        <v>226</v>
      </c>
      <c r="C39" s="4" t="s">
        <v>9</v>
      </c>
      <c r="D39" s="4" t="s">
        <v>16</v>
      </c>
      <c r="E39" s="4" t="s">
        <v>216</v>
      </c>
      <c r="F39" s="4" t="s">
        <v>227</v>
      </c>
      <c r="G39" s="4" t="s">
        <v>228</v>
      </c>
      <c r="H39" s="4" t="s">
        <v>195</v>
      </c>
      <c r="I39" s="4" t="s">
        <v>5</v>
      </c>
      <c r="J39" s="4" t="s">
        <v>229</v>
      </c>
      <c r="K39" s="4" t="s">
        <v>220</v>
      </c>
      <c r="L39" s="8" t="s">
        <v>221</v>
      </c>
      <c r="M39" s="8" t="s">
        <v>5</v>
      </c>
      <c r="N39" s="8" t="s">
        <v>65</v>
      </c>
      <c r="O39" s="8" t="s">
        <v>66</v>
      </c>
    </row>
    <row r="40" customFormat="false" ht="23.85" hidden="false" customHeight="false" outlineLevel="0" collapsed="false">
      <c r="A40" s="4" t="s">
        <v>230</v>
      </c>
      <c r="B40" s="4" t="s">
        <v>226</v>
      </c>
      <c r="C40" s="4" t="s">
        <v>9</v>
      </c>
      <c r="D40" s="4" t="s">
        <v>16</v>
      </c>
      <c r="E40" s="4" t="s">
        <v>231</v>
      </c>
      <c r="F40" s="4" t="s">
        <v>227</v>
      </c>
      <c r="G40" s="4" t="s">
        <v>228</v>
      </c>
      <c r="H40" s="4" t="s">
        <v>232</v>
      </c>
      <c r="I40" s="4" t="s">
        <v>5</v>
      </c>
      <c r="J40" s="4" t="s">
        <v>233</v>
      </c>
      <c r="K40" s="4" t="s">
        <v>234</v>
      </c>
      <c r="L40" s="8" t="s">
        <v>235</v>
      </c>
      <c r="M40" s="8" t="s">
        <v>5</v>
      </c>
      <c r="N40" s="8" t="s">
        <v>65</v>
      </c>
      <c r="O40" s="8" t="s">
        <v>66</v>
      </c>
    </row>
    <row r="41" customFormat="false" ht="23.85" hidden="false" customHeight="false" outlineLevel="0" collapsed="false">
      <c r="A41" s="4" t="s">
        <v>236</v>
      </c>
      <c r="B41" s="4" t="s">
        <v>237</v>
      </c>
      <c r="C41" s="4" t="s">
        <v>9</v>
      </c>
      <c r="D41" s="4" t="s">
        <v>17</v>
      </c>
      <c r="E41" s="4" t="s">
        <v>238</v>
      </c>
      <c r="F41" s="4" t="s">
        <v>239</v>
      </c>
      <c r="G41" s="4" t="s">
        <v>240</v>
      </c>
      <c r="H41" s="4" t="s">
        <v>195</v>
      </c>
      <c r="I41" s="4" t="s">
        <v>5</v>
      </c>
      <c r="J41" s="4" t="s">
        <v>241</v>
      </c>
      <c r="K41" s="4" t="s">
        <v>242</v>
      </c>
      <c r="L41" s="8" t="s">
        <v>243</v>
      </c>
      <c r="M41" s="8" t="s">
        <v>5</v>
      </c>
      <c r="N41" s="8" t="s">
        <v>65</v>
      </c>
      <c r="O41" s="8" t="s">
        <v>66</v>
      </c>
    </row>
    <row r="42" customFormat="false" ht="23.85" hidden="false" customHeight="false" outlineLevel="0" collapsed="false">
      <c r="A42" s="4" t="s">
        <v>244</v>
      </c>
      <c r="B42" s="4" t="s">
        <v>237</v>
      </c>
      <c r="C42" s="4" t="s">
        <v>9</v>
      </c>
      <c r="D42" s="4" t="s">
        <v>17</v>
      </c>
      <c r="E42" s="4" t="s">
        <v>223</v>
      </c>
      <c r="F42" s="4" t="s">
        <v>245</v>
      </c>
      <c r="G42" s="4" t="s">
        <v>240</v>
      </c>
      <c r="H42" s="4" t="s">
        <v>195</v>
      </c>
      <c r="I42" s="4" t="s">
        <v>5</v>
      </c>
      <c r="J42" s="4" t="s">
        <v>246</v>
      </c>
      <c r="K42" s="4" t="s">
        <v>242</v>
      </c>
      <c r="L42" s="8" t="s">
        <v>243</v>
      </c>
      <c r="M42" s="8" t="s">
        <v>5</v>
      </c>
      <c r="N42" s="8" t="s">
        <v>65</v>
      </c>
      <c r="O42" s="8" t="s">
        <v>66</v>
      </c>
    </row>
    <row r="43" customFormat="false" ht="23.85" hidden="false" customHeight="false" outlineLevel="0" collapsed="false">
      <c r="A43" s="4" t="s">
        <v>247</v>
      </c>
      <c r="B43" s="4" t="s">
        <v>248</v>
      </c>
      <c r="C43" s="4" t="s">
        <v>9</v>
      </c>
      <c r="D43" s="4" t="s">
        <v>16</v>
      </c>
      <c r="E43" s="4" t="s">
        <v>249</v>
      </c>
      <c r="F43" s="4" t="s">
        <v>250</v>
      </c>
      <c r="G43" s="4" t="s">
        <v>251</v>
      </c>
      <c r="H43" s="4" t="s">
        <v>195</v>
      </c>
      <c r="I43" s="4" t="s">
        <v>5</v>
      </c>
      <c r="J43" s="4" t="s">
        <v>252</v>
      </c>
      <c r="K43" s="4" t="s">
        <v>253</v>
      </c>
      <c r="L43" s="8" t="s">
        <v>254</v>
      </c>
      <c r="M43" s="8" t="s">
        <v>5</v>
      </c>
      <c r="N43" s="8" t="s">
        <v>65</v>
      </c>
      <c r="O43" s="8" t="s">
        <v>66</v>
      </c>
    </row>
    <row r="44" customFormat="false" ht="15" hidden="false" customHeight="false" outlineLevel="0" collapsed="false">
      <c r="A44" s="4" t="s">
        <v>255</v>
      </c>
      <c r="B44" s="4" t="s">
        <v>171</v>
      </c>
      <c r="C44" s="4" t="s">
        <v>10</v>
      </c>
      <c r="D44" s="4" t="s">
        <v>16</v>
      </c>
      <c r="E44" s="4" t="s">
        <v>256</v>
      </c>
      <c r="F44" s="4" t="s">
        <v>257</v>
      </c>
      <c r="G44" s="4" t="s">
        <v>174</v>
      </c>
      <c r="H44" s="4" t="s">
        <v>258</v>
      </c>
      <c r="I44" s="4" t="s">
        <v>4</v>
      </c>
      <c r="J44" s="4" t="s">
        <v>176</v>
      </c>
      <c r="K44" s="4"/>
      <c r="L44" s="8" t="s">
        <v>64</v>
      </c>
      <c r="M44" s="8" t="s">
        <v>4</v>
      </c>
      <c r="N44" s="8" t="s">
        <v>65</v>
      </c>
      <c r="O44" s="8" t="s">
        <v>66</v>
      </c>
    </row>
    <row r="45" customFormat="false" ht="15" hidden="false" customHeight="false" outlineLevel="0" collapsed="false">
      <c r="A45" s="4" t="s">
        <v>259</v>
      </c>
      <c r="B45" s="4" t="s">
        <v>171</v>
      </c>
      <c r="C45" s="4" t="s">
        <v>10</v>
      </c>
      <c r="D45" s="4" t="s">
        <v>16</v>
      </c>
      <c r="E45" s="4" t="s">
        <v>260</v>
      </c>
      <c r="F45" s="4" t="s">
        <v>261</v>
      </c>
      <c r="G45" s="4" t="s">
        <v>174</v>
      </c>
      <c r="H45" s="4" t="s">
        <v>262</v>
      </c>
      <c r="I45" s="4" t="s">
        <v>4</v>
      </c>
      <c r="J45" s="4" t="s">
        <v>263</v>
      </c>
      <c r="K45" s="4"/>
      <c r="L45" s="8" t="s">
        <v>64</v>
      </c>
      <c r="M45" s="8" t="s">
        <v>4</v>
      </c>
      <c r="N45" s="8" t="s">
        <v>65</v>
      </c>
      <c r="O45" s="8" t="s">
        <v>66</v>
      </c>
    </row>
    <row r="46" customFormat="false" ht="15" hidden="false" customHeight="false" outlineLevel="0" collapsed="false">
      <c r="A46" s="4" t="s">
        <v>264</v>
      </c>
      <c r="B46" s="4" t="s">
        <v>75</v>
      </c>
      <c r="C46" s="4" t="s">
        <v>10</v>
      </c>
      <c r="D46" s="4" t="s">
        <v>16</v>
      </c>
      <c r="E46" s="4" t="s">
        <v>265</v>
      </c>
      <c r="F46" s="4" t="s">
        <v>266</v>
      </c>
      <c r="G46" s="4" t="s">
        <v>267</v>
      </c>
      <c r="H46" s="4" t="s">
        <v>268</v>
      </c>
      <c r="I46" s="4" t="s">
        <v>4</v>
      </c>
      <c r="J46" s="4" t="s">
        <v>269</v>
      </c>
      <c r="K46" s="4"/>
      <c r="L46" s="8" t="s">
        <v>64</v>
      </c>
      <c r="M46" s="8" t="s">
        <v>4</v>
      </c>
      <c r="N46" s="8" t="s">
        <v>65</v>
      </c>
      <c r="O46" s="8" t="s">
        <v>66</v>
      </c>
    </row>
    <row r="47" customFormat="false" ht="15" hidden="false" customHeight="false" outlineLevel="0" collapsed="false">
      <c r="A47" s="4" t="s">
        <v>270</v>
      </c>
      <c r="B47" s="4" t="s">
        <v>75</v>
      </c>
      <c r="C47" s="4" t="s">
        <v>10</v>
      </c>
      <c r="D47" s="4" t="s">
        <v>16</v>
      </c>
      <c r="E47" s="4" t="s">
        <v>271</v>
      </c>
      <c r="F47" s="4" t="s">
        <v>257</v>
      </c>
      <c r="G47" s="4" t="s">
        <v>267</v>
      </c>
      <c r="H47" s="4" t="s">
        <v>272</v>
      </c>
      <c r="I47" s="4" t="s">
        <v>4</v>
      </c>
      <c r="J47" s="4" t="s">
        <v>273</v>
      </c>
      <c r="K47" s="4"/>
      <c r="L47" s="8" t="s">
        <v>64</v>
      </c>
      <c r="M47" s="8" t="s">
        <v>4</v>
      </c>
      <c r="N47" s="8" t="s">
        <v>65</v>
      </c>
      <c r="O47" s="8" t="s">
        <v>66</v>
      </c>
    </row>
    <row r="48" customFormat="false" ht="23.85" hidden="false" customHeight="false" outlineLevel="0" collapsed="false">
      <c r="A48" s="4" t="s">
        <v>274</v>
      </c>
      <c r="B48" s="4" t="s">
        <v>75</v>
      </c>
      <c r="C48" s="4" t="s">
        <v>10</v>
      </c>
      <c r="D48" s="4" t="s">
        <v>17</v>
      </c>
      <c r="E48" s="4" t="s">
        <v>275</v>
      </c>
      <c r="F48" s="4" t="s">
        <v>257</v>
      </c>
      <c r="G48" s="4" t="s">
        <v>267</v>
      </c>
      <c r="H48" s="4" t="s">
        <v>276</v>
      </c>
      <c r="I48" s="4" t="s">
        <v>4</v>
      </c>
      <c r="J48" s="4" t="s">
        <v>277</v>
      </c>
      <c r="K48" s="4"/>
      <c r="L48" s="8" t="s">
        <v>64</v>
      </c>
      <c r="M48" s="8" t="s">
        <v>4</v>
      </c>
      <c r="N48" s="8" t="s">
        <v>65</v>
      </c>
      <c r="O48" s="8" t="s">
        <v>66</v>
      </c>
    </row>
    <row r="49" customFormat="false" ht="15" hidden="false" customHeight="false" outlineLevel="0" collapsed="false">
      <c r="A49" s="4" t="s">
        <v>278</v>
      </c>
      <c r="B49" s="4" t="s">
        <v>75</v>
      </c>
      <c r="C49" s="4" t="s">
        <v>10</v>
      </c>
      <c r="D49" s="4" t="s">
        <v>16</v>
      </c>
      <c r="E49" s="4" t="s">
        <v>279</v>
      </c>
      <c r="F49" s="4" t="s">
        <v>257</v>
      </c>
      <c r="G49" s="4" t="s">
        <v>267</v>
      </c>
      <c r="H49" s="4" t="s">
        <v>280</v>
      </c>
      <c r="I49" s="4" t="s">
        <v>4</v>
      </c>
      <c r="J49" s="4" t="s">
        <v>281</v>
      </c>
      <c r="K49" s="4"/>
      <c r="L49" s="8" t="s">
        <v>64</v>
      </c>
      <c r="M49" s="8" t="s">
        <v>4</v>
      </c>
      <c r="N49" s="8" t="s">
        <v>65</v>
      </c>
      <c r="O49" s="8" t="s">
        <v>66</v>
      </c>
    </row>
    <row r="50" customFormat="false" ht="15" hidden="false" customHeight="false" outlineLevel="0" collapsed="false">
      <c r="A50" s="4" t="s">
        <v>282</v>
      </c>
      <c r="B50" s="4" t="s">
        <v>75</v>
      </c>
      <c r="C50" s="4" t="s">
        <v>10</v>
      </c>
      <c r="D50" s="4" t="s">
        <v>16</v>
      </c>
      <c r="E50" s="4" t="s">
        <v>283</v>
      </c>
      <c r="F50" s="4" t="s">
        <v>284</v>
      </c>
      <c r="G50" s="4" t="s">
        <v>267</v>
      </c>
      <c r="H50" s="4" t="s">
        <v>285</v>
      </c>
      <c r="I50" s="4" t="s">
        <v>4</v>
      </c>
      <c r="J50" s="4" t="s">
        <v>286</v>
      </c>
      <c r="K50" s="4"/>
      <c r="L50" s="8" t="s">
        <v>64</v>
      </c>
      <c r="M50" s="8" t="s">
        <v>4</v>
      </c>
      <c r="N50" s="8" t="s">
        <v>65</v>
      </c>
      <c r="O50" s="8" t="s">
        <v>66</v>
      </c>
    </row>
    <row r="51" customFormat="false" ht="15" hidden="false" customHeight="false" outlineLevel="0" collapsed="false">
      <c r="A51" s="4" t="s">
        <v>287</v>
      </c>
      <c r="B51" s="4" t="s">
        <v>248</v>
      </c>
      <c r="C51" s="4" t="s">
        <v>10</v>
      </c>
      <c r="D51" s="4" t="s">
        <v>16</v>
      </c>
      <c r="E51" s="4" t="s">
        <v>288</v>
      </c>
      <c r="F51" s="4" t="s">
        <v>289</v>
      </c>
      <c r="G51" s="4" t="s">
        <v>290</v>
      </c>
      <c r="H51" s="4" t="s">
        <v>291</v>
      </c>
      <c r="I51" s="4" t="s">
        <v>4</v>
      </c>
      <c r="J51" s="4" t="s">
        <v>292</v>
      </c>
      <c r="K51" s="4"/>
      <c r="L51" s="8" t="s">
        <v>64</v>
      </c>
      <c r="M51" s="8" t="s">
        <v>4</v>
      </c>
      <c r="N51" s="8" t="s">
        <v>65</v>
      </c>
      <c r="O51" s="8" t="s">
        <v>66</v>
      </c>
    </row>
    <row r="52" customFormat="false" ht="23.85" hidden="false" customHeight="false" outlineLevel="0" collapsed="false">
      <c r="A52" s="4" t="s">
        <v>293</v>
      </c>
      <c r="B52" s="4" t="s">
        <v>248</v>
      </c>
      <c r="C52" s="4" t="s">
        <v>10</v>
      </c>
      <c r="D52" s="4" t="s">
        <v>17</v>
      </c>
      <c r="E52" s="4" t="s">
        <v>275</v>
      </c>
      <c r="F52" s="4" t="s">
        <v>257</v>
      </c>
      <c r="G52" s="4" t="s">
        <v>290</v>
      </c>
      <c r="H52" s="4" t="s">
        <v>294</v>
      </c>
      <c r="I52" s="4" t="s">
        <v>4</v>
      </c>
      <c r="J52" s="4" t="s">
        <v>295</v>
      </c>
      <c r="K52" s="4"/>
      <c r="L52" s="8" t="s">
        <v>64</v>
      </c>
      <c r="M52" s="8" t="s">
        <v>4</v>
      </c>
      <c r="N52" s="8" t="s">
        <v>65</v>
      </c>
      <c r="O52" s="8" t="s">
        <v>66</v>
      </c>
    </row>
    <row r="53" customFormat="false" ht="15" hidden="false" customHeight="false" outlineLevel="0" collapsed="false">
      <c r="A53" s="4" t="s">
        <v>296</v>
      </c>
      <c r="B53" s="4" t="s">
        <v>248</v>
      </c>
      <c r="C53" s="4" t="s">
        <v>10</v>
      </c>
      <c r="D53" s="4" t="s">
        <v>16</v>
      </c>
      <c r="E53" s="4" t="s">
        <v>283</v>
      </c>
      <c r="F53" s="4" t="s">
        <v>284</v>
      </c>
      <c r="G53" s="4" t="s">
        <v>290</v>
      </c>
      <c r="H53" s="4" t="s">
        <v>297</v>
      </c>
      <c r="I53" s="4" t="s">
        <v>4</v>
      </c>
      <c r="J53" s="4" t="s">
        <v>298</v>
      </c>
      <c r="K53" s="4"/>
      <c r="L53" s="8" t="s">
        <v>64</v>
      </c>
      <c r="M53" s="8" t="s">
        <v>4</v>
      </c>
      <c r="N53" s="8" t="s">
        <v>65</v>
      </c>
      <c r="O53" s="8" t="s">
        <v>66</v>
      </c>
    </row>
    <row r="54" customFormat="false" ht="15" hidden="false" customHeight="false" outlineLevel="0" collapsed="false">
      <c r="A54" s="4" t="s">
        <v>299</v>
      </c>
      <c r="B54" s="4" t="s">
        <v>97</v>
      </c>
      <c r="C54" s="4" t="s">
        <v>10</v>
      </c>
      <c r="D54" s="4" t="s">
        <v>16</v>
      </c>
      <c r="E54" s="4" t="s">
        <v>157</v>
      </c>
      <c r="F54" s="4" t="s">
        <v>300</v>
      </c>
      <c r="G54" s="4" t="s">
        <v>100</v>
      </c>
      <c r="H54" s="4" t="s">
        <v>301</v>
      </c>
      <c r="I54" s="4" t="s">
        <v>4</v>
      </c>
      <c r="J54" s="4" t="s">
        <v>302</v>
      </c>
      <c r="K54" s="4"/>
      <c r="L54" s="8" t="s">
        <v>64</v>
      </c>
      <c r="M54" s="8" t="s">
        <v>4</v>
      </c>
      <c r="N54" s="8" t="s">
        <v>65</v>
      </c>
      <c r="O54" s="8" t="s">
        <v>66</v>
      </c>
    </row>
    <row r="55" customFormat="false" ht="23.85" hidden="false" customHeight="false" outlineLevel="0" collapsed="false">
      <c r="A55" s="4" t="s">
        <v>303</v>
      </c>
      <c r="B55" s="4" t="s">
        <v>97</v>
      </c>
      <c r="C55" s="4" t="s">
        <v>10</v>
      </c>
      <c r="D55" s="4" t="s">
        <v>16</v>
      </c>
      <c r="E55" s="4" t="s">
        <v>304</v>
      </c>
      <c r="F55" s="4" t="s">
        <v>305</v>
      </c>
      <c r="G55" s="4" t="s">
        <v>100</v>
      </c>
      <c r="H55" s="4" t="s">
        <v>306</v>
      </c>
      <c r="I55" s="4" t="s">
        <v>4</v>
      </c>
      <c r="J55" s="4" t="s">
        <v>307</v>
      </c>
      <c r="K55" s="4"/>
      <c r="L55" s="8" t="s">
        <v>64</v>
      </c>
      <c r="M55" s="8" t="s">
        <v>4</v>
      </c>
      <c r="N55" s="8" t="s">
        <v>65</v>
      </c>
      <c r="O55" s="8" t="s">
        <v>66</v>
      </c>
    </row>
    <row r="56" customFormat="false" ht="15" hidden="false" customHeight="false" outlineLevel="0" collapsed="false">
      <c r="A56" s="4" t="s">
        <v>308</v>
      </c>
      <c r="B56" s="4" t="s">
        <v>97</v>
      </c>
      <c r="C56" s="4" t="s">
        <v>10</v>
      </c>
      <c r="D56" s="4" t="s">
        <v>17</v>
      </c>
      <c r="E56" s="4" t="s">
        <v>157</v>
      </c>
      <c r="F56" s="4" t="s">
        <v>309</v>
      </c>
      <c r="G56" s="4" t="s">
        <v>100</v>
      </c>
      <c r="H56" s="4" t="s">
        <v>310</v>
      </c>
      <c r="I56" s="4" t="s">
        <v>4</v>
      </c>
      <c r="J56" s="4" t="s">
        <v>311</v>
      </c>
      <c r="K56" s="4"/>
      <c r="L56" s="8" t="s">
        <v>64</v>
      </c>
      <c r="M56" s="8" t="s">
        <v>4</v>
      </c>
      <c r="N56" s="8" t="s">
        <v>65</v>
      </c>
      <c r="O56" s="8" t="s">
        <v>66</v>
      </c>
    </row>
    <row r="57" customFormat="false" ht="23.85" hidden="false" customHeight="false" outlineLevel="0" collapsed="false">
      <c r="A57" s="4" t="s">
        <v>312</v>
      </c>
      <c r="B57" s="4" t="s">
        <v>226</v>
      </c>
      <c r="C57" s="4" t="s">
        <v>10</v>
      </c>
      <c r="D57" s="4" t="s">
        <v>16</v>
      </c>
      <c r="E57" s="4" t="s">
        <v>313</v>
      </c>
      <c r="F57" s="4" t="s">
        <v>314</v>
      </c>
      <c r="G57" s="4" t="s">
        <v>228</v>
      </c>
      <c r="H57" s="4" t="s">
        <v>315</v>
      </c>
      <c r="I57" s="4" t="s">
        <v>4</v>
      </c>
      <c r="J57" s="4" t="s">
        <v>316</v>
      </c>
      <c r="K57" s="4"/>
      <c r="L57" s="8" t="s">
        <v>64</v>
      </c>
      <c r="M57" s="8" t="s">
        <v>4</v>
      </c>
      <c r="N57" s="8" t="s">
        <v>65</v>
      </c>
      <c r="O57" s="8" t="s">
        <v>66</v>
      </c>
    </row>
    <row r="58" customFormat="false" ht="15" hidden="false" customHeight="false" outlineLevel="0" collapsed="false">
      <c r="A58" s="4" t="s">
        <v>317</v>
      </c>
      <c r="B58" s="4" t="s">
        <v>226</v>
      </c>
      <c r="C58" s="4" t="s">
        <v>10</v>
      </c>
      <c r="D58" s="4" t="s">
        <v>16</v>
      </c>
      <c r="E58" s="4" t="s">
        <v>318</v>
      </c>
      <c r="F58" s="4" t="s">
        <v>319</v>
      </c>
      <c r="G58" s="4" t="s">
        <v>228</v>
      </c>
      <c r="H58" s="4" t="s">
        <v>320</v>
      </c>
      <c r="I58" s="4" t="s">
        <v>4</v>
      </c>
      <c r="J58" s="4" t="s">
        <v>321</v>
      </c>
      <c r="K58" s="4"/>
      <c r="L58" s="8" t="s">
        <v>64</v>
      </c>
      <c r="M58" s="8" t="s">
        <v>4</v>
      </c>
      <c r="N58" s="8" t="s">
        <v>65</v>
      </c>
      <c r="O58" s="8" t="s">
        <v>66</v>
      </c>
    </row>
    <row r="59" customFormat="false" ht="15" hidden="false" customHeight="false" outlineLevel="0" collapsed="false">
      <c r="A59" s="4" t="s">
        <v>322</v>
      </c>
      <c r="B59" s="4" t="s">
        <v>178</v>
      </c>
      <c r="C59" s="4" t="s">
        <v>10</v>
      </c>
      <c r="D59" s="4" t="s">
        <v>17</v>
      </c>
      <c r="E59" s="4" t="s">
        <v>304</v>
      </c>
      <c r="F59" s="4" t="s">
        <v>257</v>
      </c>
      <c r="G59" s="4" t="s">
        <v>181</v>
      </c>
      <c r="H59" s="4" t="s">
        <v>323</v>
      </c>
      <c r="I59" s="4" t="s">
        <v>4</v>
      </c>
      <c r="J59" s="4" t="s">
        <v>324</v>
      </c>
      <c r="K59" s="4"/>
      <c r="L59" s="8" t="s">
        <v>64</v>
      </c>
      <c r="M59" s="8" t="s">
        <v>4</v>
      </c>
      <c r="N59" s="8" t="s">
        <v>65</v>
      </c>
      <c r="O59" s="8" t="s">
        <v>66</v>
      </c>
    </row>
    <row r="60" customFormat="false" ht="15" hidden="false" customHeight="false" outlineLevel="0" collapsed="false">
      <c r="A60" s="4" t="s">
        <v>325</v>
      </c>
      <c r="B60" s="4" t="s">
        <v>326</v>
      </c>
      <c r="C60" s="4" t="s">
        <v>10</v>
      </c>
      <c r="D60" s="4" t="s">
        <v>16</v>
      </c>
      <c r="E60" s="4" t="s">
        <v>327</v>
      </c>
      <c r="F60" s="4" t="s">
        <v>257</v>
      </c>
      <c r="G60" s="4" t="s">
        <v>328</v>
      </c>
      <c r="H60" s="4" t="s">
        <v>329</v>
      </c>
      <c r="I60" s="4" t="s">
        <v>4</v>
      </c>
      <c r="J60" s="4" t="s">
        <v>330</v>
      </c>
      <c r="K60" s="4"/>
      <c r="L60" s="8" t="s">
        <v>64</v>
      </c>
      <c r="M60" s="8" t="s">
        <v>4</v>
      </c>
      <c r="N60" s="8" t="s">
        <v>65</v>
      </c>
      <c r="O60" s="8" t="s">
        <v>66</v>
      </c>
    </row>
    <row r="61" customFormat="false" ht="23.85" hidden="false" customHeight="false" outlineLevel="0" collapsed="false">
      <c r="A61" s="4" t="s">
        <v>331</v>
      </c>
      <c r="B61" s="4" t="s">
        <v>326</v>
      </c>
      <c r="C61" s="4" t="s">
        <v>10</v>
      </c>
      <c r="D61" s="4" t="s">
        <v>17</v>
      </c>
      <c r="E61" s="4" t="s">
        <v>304</v>
      </c>
      <c r="F61" s="4" t="s">
        <v>245</v>
      </c>
      <c r="G61" s="4" t="s">
        <v>328</v>
      </c>
      <c r="H61" s="4" t="s">
        <v>332</v>
      </c>
      <c r="I61" s="4" t="s">
        <v>4</v>
      </c>
      <c r="J61" s="4" t="s">
        <v>333</v>
      </c>
      <c r="K61" s="4"/>
      <c r="L61" s="8" t="s">
        <v>64</v>
      </c>
      <c r="M61" s="8" t="s">
        <v>4</v>
      </c>
      <c r="N61" s="8" t="s">
        <v>65</v>
      </c>
      <c r="O61" s="8" t="s">
        <v>66</v>
      </c>
    </row>
    <row r="62" customFormat="false" ht="15" hidden="false" customHeight="false" outlineLevel="0" collapsed="false">
      <c r="A62" s="4" t="s">
        <v>334</v>
      </c>
      <c r="B62" s="4" t="s">
        <v>149</v>
      </c>
      <c r="C62" s="4" t="s">
        <v>10</v>
      </c>
      <c r="D62" s="4" t="s">
        <v>16</v>
      </c>
      <c r="E62" s="4" t="s">
        <v>335</v>
      </c>
      <c r="F62" s="4" t="s">
        <v>257</v>
      </c>
      <c r="G62" s="4" t="s">
        <v>152</v>
      </c>
      <c r="H62" s="4" t="s">
        <v>336</v>
      </c>
      <c r="I62" s="4" t="s">
        <v>4</v>
      </c>
      <c r="J62" s="4" t="s">
        <v>337</v>
      </c>
      <c r="K62" s="4"/>
      <c r="L62" s="8" t="s">
        <v>64</v>
      </c>
      <c r="M62" s="8" t="s">
        <v>4</v>
      </c>
      <c r="N62" s="8" t="s">
        <v>65</v>
      </c>
      <c r="O62" s="8" t="s">
        <v>66</v>
      </c>
    </row>
    <row r="63" customFormat="false" ht="15" hidden="false" customHeight="false" outlineLevel="0" collapsed="false">
      <c r="A63" s="4" t="s">
        <v>338</v>
      </c>
      <c r="B63" s="4" t="s">
        <v>149</v>
      </c>
      <c r="C63" s="4" t="s">
        <v>10</v>
      </c>
      <c r="D63" s="4" t="s">
        <v>17</v>
      </c>
      <c r="E63" s="4" t="s">
        <v>339</v>
      </c>
      <c r="F63" s="4" t="s">
        <v>257</v>
      </c>
      <c r="G63" s="4" t="s">
        <v>152</v>
      </c>
      <c r="H63" s="4" t="s">
        <v>340</v>
      </c>
      <c r="I63" s="4" t="s">
        <v>4</v>
      </c>
      <c r="J63" s="4" t="s">
        <v>341</v>
      </c>
      <c r="K63" s="4"/>
      <c r="L63" s="8" t="s">
        <v>64</v>
      </c>
      <c r="M63" s="8" t="s">
        <v>4</v>
      </c>
      <c r="N63" s="8" t="s">
        <v>65</v>
      </c>
      <c r="O63" s="8" t="s">
        <v>66</v>
      </c>
    </row>
  </sheetData>
  <autoFilter ref="A3:O63"/>
  <dataValidations count="1">
    <dataValidation allowBlank="false" errorStyle="stop" operator="between" showDropDown="false" showErrorMessage="false" showInputMessage="false" sqref="M4:M63" type="list">
      <formula1>"Not run,Pass,Fail,Blocked"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9" min="8" style="0" width="10"/>
    <col collapsed="false" customWidth="true" hidden="false" outlineLevel="0" max="10" min="10" style="0" width="12"/>
    <col collapsed="false" customWidth="true" hidden="false" outlineLevel="0" max="11" min="11" style="0" width="36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1" t="s">
        <v>342</v>
      </c>
    </row>
    <row r="2" customFormat="false" ht="15" hidden="false" customHeight="false" outlineLevel="0" collapsed="false">
      <c r="A2" s="9" t="s">
        <v>343</v>
      </c>
    </row>
    <row r="4" customFormat="false" ht="15" hidden="false" customHeight="false" outlineLevel="0" collapsed="false">
      <c r="A4" s="3" t="s">
        <v>344</v>
      </c>
      <c r="B4" s="3" t="s">
        <v>345</v>
      </c>
      <c r="C4" s="3" t="s">
        <v>346</v>
      </c>
      <c r="D4" s="3" t="s">
        <v>347</v>
      </c>
      <c r="E4" s="3" t="s">
        <v>348</v>
      </c>
      <c r="F4" s="3" t="s">
        <v>349</v>
      </c>
      <c r="G4" s="3" t="s">
        <v>350</v>
      </c>
      <c r="H4" s="3" t="s">
        <v>351</v>
      </c>
      <c r="I4" s="3" t="s">
        <v>352</v>
      </c>
      <c r="J4" s="3" t="s">
        <v>353</v>
      </c>
      <c r="K4" s="3" t="s">
        <v>354</v>
      </c>
      <c r="L4" s="3" t="s">
        <v>1</v>
      </c>
    </row>
    <row r="5" customFormat="false" ht="23.85" hidden="false" customHeight="false" outlineLevel="0" collapsed="false">
      <c r="A5" s="4" t="s">
        <v>355</v>
      </c>
      <c r="B5" s="4" t="s">
        <v>58</v>
      </c>
      <c r="C5" s="4" t="s">
        <v>356</v>
      </c>
      <c r="D5" s="4" t="s">
        <v>357</v>
      </c>
      <c r="E5" s="4" t="s">
        <v>358</v>
      </c>
      <c r="F5" s="4" t="s">
        <v>359</v>
      </c>
      <c r="G5" s="4" t="s">
        <v>360</v>
      </c>
      <c r="H5" s="4" t="s">
        <v>257</v>
      </c>
      <c r="I5" s="4" t="s">
        <v>257</v>
      </c>
      <c r="J5" s="4" t="s">
        <v>257</v>
      </c>
      <c r="K5" s="4" t="s">
        <v>361</v>
      </c>
      <c r="L5" s="4" t="s">
        <v>362</v>
      </c>
    </row>
    <row r="6" customFormat="false" ht="15" hidden="false" customHeight="false" outlineLevel="0" collapsed="false">
      <c r="A6" s="4" t="s">
        <v>363</v>
      </c>
      <c r="B6" s="4" t="s">
        <v>364</v>
      </c>
      <c r="C6" s="4" t="s">
        <v>365</v>
      </c>
      <c r="D6" s="4" t="s">
        <v>366</v>
      </c>
      <c r="E6" s="4" t="s">
        <v>367</v>
      </c>
      <c r="F6" s="4" t="s">
        <v>368</v>
      </c>
      <c r="G6" s="4" t="s">
        <v>369</v>
      </c>
      <c r="H6" s="4" t="s">
        <v>370</v>
      </c>
      <c r="I6" s="4" t="s">
        <v>371</v>
      </c>
      <c r="J6" s="4" t="s">
        <v>372</v>
      </c>
      <c r="K6" s="4" t="s">
        <v>373</v>
      </c>
      <c r="L6" s="4" t="s">
        <v>374</v>
      </c>
    </row>
    <row r="7" customFormat="false" ht="15" hidden="false" customHeight="false" outlineLevel="0" collapsed="false">
      <c r="A7" s="4" t="s">
        <v>375</v>
      </c>
      <c r="B7" s="4" t="s">
        <v>364</v>
      </c>
      <c r="C7" s="4" t="s">
        <v>376</v>
      </c>
      <c r="D7" s="4" t="s">
        <v>257</v>
      </c>
      <c r="E7" s="4" t="s">
        <v>377</v>
      </c>
      <c r="F7" s="4" t="s">
        <v>378</v>
      </c>
      <c r="G7" s="4" t="s">
        <v>371</v>
      </c>
      <c r="H7" s="4" t="s">
        <v>379</v>
      </c>
      <c r="I7" s="4" t="s">
        <v>380</v>
      </c>
      <c r="J7" s="4" t="s">
        <v>381</v>
      </c>
      <c r="K7" s="4" t="s">
        <v>382</v>
      </c>
      <c r="L7" s="4" t="s">
        <v>92</v>
      </c>
    </row>
    <row r="8" customFormat="false" ht="15" hidden="false" customHeight="false" outlineLevel="0" collapsed="false">
      <c r="A8" s="4" t="s">
        <v>383</v>
      </c>
      <c r="B8" s="4" t="s">
        <v>97</v>
      </c>
      <c r="C8" s="4" t="s">
        <v>384</v>
      </c>
      <c r="D8" s="4" t="s">
        <v>378</v>
      </c>
      <c r="E8" s="4" t="s">
        <v>366</v>
      </c>
      <c r="F8" s="4" t="s">
        <v>367</v>
      </c>
      <c r="G8" s="4" t="s">
        <v>385</v>
      </c>
      <c r="H8" s="4" t="s">
        <v>386</v>
      </c>
      <c r="I8" s="4" t="s">
        <v>387</v>
      </c>
      <c r="J8" s="4" t="s">
        <v>388</v>
      </c>
      <c r="K8" s="4" t="s">
        <v>389</v>
      </c>
      <c r="L8" s="4" t="s">
        <v>390</v>
      </c>
    </row>
    <row r="9" customFormat="false" ht="15" hidden="false" customHeight="false" outlineLevel="0" collapsed="false">
      <c r="A9" s="4" t="s">
        <v>391</v>
      </c>
      <c r="B9" s="4" t="s">
        <v>97</v>
      </c>
      <c r="C9" s="4" t="s">
        <v>392</v>
      </c>
      <c r="D9" s="4" t="s">
        <v>393</v>
      </c>
      <c r="E9" s="4" t="s">
        <v>378</v>
      </c>
      <c r="F9" s="4" t="s">
        <v>366</v>
      </c>
      <c r="G9" s="4" t="s">
        <v>394</v>
      </c>
      <c r="H9" s="4" t="s">
        <v>395</v>
      </c>
      <c r="I9" s="4" t="s">
        <v>396</v>
      </c>
      <c r="J9" s="4" t="s">
        <v>397</v>
      </c>
      <c r="K9" s="4" t="s">
        <v>398</v>
      </c>
      <c r="L9" s="4" t="s">
        <v>399</v>
      </c>
    </row>
    <row r="10" customFormat="false" ht="15" hidden="false" customHeight="false" outlineLevel="0" collapsed="false">
      <c r="A10" s="4" t="s">
        <v>400</v>
      </c>
      <c r="B10" s="4" t="s">
        <v>97</v>
      </c>
      <c r="C10" s="4" t="s">
        <v>401</v>
      </c>
      <c r="D10" s="4" t="s">
        <v>257</v>
      </c>
      <c r="E10" s="4" t="s">
        <v>377</v>
      </c>
      <c r="F10" s="4" t="s">
        <v>378</v>
      </c>
      <c r="G10" s="4" t="s">
        <v>402</v>
      </c>
      <c r="H10" s="4" t="s">
        <v>403</v>
      </c>
      <c r="I10" s="4" t="s">
        <v>404</v>
      </c>
      <c r="J10" s="4" t="s">
        <v>405</v>
      </c>
      <c r="K10" s="4" t="s">
        <v>406</v>
      </c>
      <c r="L10" s="4" t="s">
        <v>122</v>
      </c>
    </row>
    <row r="11" customFormat="false" ht="15" hidden="false" customHeight="false" outlineLevel="0" collapsed="false">
      <c r="A11" s="4" t="s">
        <v>407</v>
      </c>
      <c r="B11" s="4" t="s">
        <v>97</v>
      </c>
      <c r="C11" s="4" t="s">
        <v>401</v>
      </c>
      <c r="D11" s="4" t="s">
        <v>257</v>
      </c>
      <c r="E11" s="4" t="s">
        <v>378</v>
      </c>
      <c r="F11" s="4" t="s">
        <v>366</v>
      </c>
      <c r="G11" s="4" t="s">
        <v>408</v>
      </c>
      <c r="H11" s="4" t="s">
        <v>403</v>
      </c>
      <c r="I11" s="4" t="s">
        <v>404</v>
      </c>
      <c r="J11" s="4" t="s">
        <v>405</v>
      </c>
      <c r="K11" s="4" t="s">
        <v>406</v>
      </c>
      <c r="L11" s="4" t="s">
        <v>125</v>
      </c>
    </row>
    <row r="12" customFormat="false" ht="23.85" hidden="false" customHeight="false" outlineLevel="0" collapsed="false">
      <c r="A12" s="4" t="s">
        <v>409</v>
      </c>
      <c r="B12" s="4" t="s">
        <v>410</v>
      </c>
      <c r="C12" s="4" t="s">
        <v>411</v>
      </c>
      <c r="D12" s="4" t="s">
        <v>412</v>
      </c>
      <c r="E12" s="4" t="s">
        <v>413</v>
      </c>
      <c r="F12" s="4" t="s">
        <v>366</v>
      </c>
      <c r="G12" s="4" t="s">
        <v>257</v>
      </c>
      <c r="H12" s="4" t="s">
        <v>257</v>
      </c>
      <c r="I12" s="4" t="s">
        <v>257</v>
      </c>
      <c r="J12" s="4" t="s">
        <v>414</v>
      </c>
      <c r="K12" s="4" t="s">
        <v>415</v>
      </c>
      <c r="L12" s="4" t="s">
        <v>416</v>
      </c>
    </row>
    <row r="13" customFormat="false" ht="23.85" hidden="false" customHeight="false" outlineLevel="0" collapsed="false">
      <c r="A13" s="4" t="s">
        <v>417</v>
      </c>
      <c r="B13" s="4" t="s">
        <v>149</v>
      </c>
      <c r="C13" s="4" t="s">
        <v>418</v>
      </c>
      <c r="D13" s="4" t="s">
        <v>419</v>
      </c>
      <c r="E13" s="4" t="s">
        <v>257</v>
      </c>
      <c r="F13" s="4" t="s">
        <v>257</v>
      </c>
      <c r="G13" s="4" t="s">
        <v>257</v>
      </c>
      <c r="H13" s="4" t="s">
        <v>257</v>
      </c>
      <c r="I13" s="4" t="s">
        <v>257</v>
      </c>
      <c r="J13" s="4" t="s">
        <v>420</v>
      </c>
      <c r="K13" s="4" t="s">
        <v>421</v>
      </c>
      <c r="L13" s="4" t="s">
        <v>148</v>
      </c>
    </row>
    <row r="14" customFormat="false" ht="15" hidden="false" customHeight="false" outlineLevel="0" collapsed="false">
      <c r="A14" s="4" t="s">
        <v>422</v>
      </c>
      <c r="B14" s="4" t="s">
        <v>423</v>
      </c>
      <c r="C14" s="4" t="s">
        <v>424</v>
      </c>
      <c r="D14" s="4" t="s">
        <v>378</v>
      </c>
      <c r="E14" s="4" t="s">
        <v>366</v>
      </c>
      <c r="F14" s="4" t="s">
        <v>367</v>
      </c>
      <c r="G14" s="4" t="s">
        <v>385</v>
      </c>
      <c r="H14" s="4" t="s">
        <v>386</v>
      </c>
      <c r="I14" s="4" t="s">
        <v>387</v>
      </c>
      <c r="J14" s="4" t="s">
        <v>388</v>
      </c>
      <c r="K14" s="4" t="s">
        <v>425</v>
      </c>
      <c r="L14" s="4" t="s">
        <v>426</v>
      </c>
    </row>
    <row r="15" customFormat="false" ht="23.85" hidden="false" customHeight="false" outlineLevel="0" collapsed="false">
      <c r="A15" s="4" t="s">
        <v>427</v>
      </c>
      <c r="B15" s="4" t="s">
        <v>423</v>
      </c>
      <c r="C15" s="4" t="s">
        <v>428</v>
      </c>
      <c r="D15" s="4" t="s">
        <v>429</v>
      </c>
      <c r="E15" s="4" t="s">
        <v>430</v>
      </c>
      <c r="F15" s="4" t="s">
        <v>257</v>
      </c>
      <c r="G15" s="4" t="s">
        <v>431</v>
      </c>
      <c r="H15" s="4" t="s">
        <v>370</v>
      </c>
      <c r="I15" s="4" t="s">
        <v>371</v>
      </c>
      <c r="J15" s="4" t="s">
        <v>372</v>
      </c>
      <c r="K15" s="4" t="s">
        <v>432</v>
      </c>
      <c r="L15" s="4" t="s">
        <v>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"/>
    <col collapsed="false" customWidth="true" hidden="false" outlineLevel="0" max="3" min="3" style="0" width="38"/>
    <col collapsed="false" customWidth="true" hidden="false" outlineLevel="0" max="4" min="4" style="0" width="20"/>
    <col collapsed="false" customWidth="true" hidden="false" outlineLevel="0" max="5" min="5" style="0" width="36"/>
    <col collapsed="false" customWidth="true" hidden="false" outlineLevel="0" max="6" min="6" style="0" width="40"/>
    <col collapsed="false" customWidth="true" hidden="false" outlineLevel="0" max="7" min="7" style="0" width="26"/>
  </cols>
  <sheetData>
    <row r="1" customFormat="false" ht="17.35" hidden="false" customHeight="false" outlineLevel="0" collapsed="false">
      <c r="A1" s="1" t="s">
        <v>433</v>
      </c>
    </row>
    <row r="3" customFormat="false" ht="15" hidden="false" customHeight="false" outlineLevel="0" collapsed="false">
      <c r="A3" s="3" t="s">
        <v>344</v>
      </c>
      <c r="B3" s="3" t="s">
        <v>434</v>
      </c>
      <c r="C3" s="3" t="s">
        <v>435</v>
      </c>
      <c r="D3" s="3" t="s">
        <v>436</v>
      </c>
      <c r="E3" s="3" t="s">
        <v>437</v>
      </c>
      <c r="F3" s="3" t="s">
        <v>438</v>
      </c>
      <c r="G3" s="3" t="s">
        <v>1</v>
      </c>
    </row>
    <row r="4" customFormat="false" ht="15" hidden="false" customHeight="false" outlineLevel="0" collapsed="false">
      <c r="A4" s="4" t="s">
        <v>439</v>
      </c>
      <c r="B4" s="4" t="s">
        <v>440</v>
      </c>
      <c r="C4" s="4" t="s">
        <v>441</v>
      </c>
      <c r="D4" s="4" t="s">
        <v>83</v>
      </c>
      <c r="E4" s="4" t="s">
        <v>442</v>
      </c>
      <c r="F4" s="4" t="s">
        <v>443</v>
      </c>
      <c r="G4" s="4" t="s">
        <v>155</v>
      </c>
    </row>
    <row r="5" customFormat="false" ht="15" hidden="false" customHeight="false" outlineLevel="0" collapsed="false">
      <c r="A5" s="4" t="s">
        <v>439</v>
      </c>
      <c r="B5" s="4" t="s">
        <v>444</v>
      </c>
      <c r="C5" s="4" t="s">
        <v>445</v>
      </c>
      <c r="D5" s="4" t="s">
        <v>83</v>
      </c>
      <c r="E5" s="4" t="s">
        <v>446</v>
      </c>
      <c r="F5" s="4" t="s">
        <v>443</v>
      </c>
      <c r="G5" s="4" t="s">
        <v>447</v>
      </c>
    </row>
    <row r="6" customFormat="false" ht="15" hidden="false" customHeight="false" outlineLevel="0" collapsed="false">
      <c r="A6" s="4" t="s">
        <v>439</v>
      </c>
      <c r="B6" s="4" t="s">
        <v>448</v>
      </c>
      <c r="C6" s="4" t="s">
        <v>449</v>
      </c>
      <c r="D6" s="4" t="s">
        <v>450</v>
      </c>
      <c r="E6" s="4" t="s">
        <v>451</v>
      </c>
      <c r="F6" s="4" t="s">
        <v>168</v>
      </c>
      <c r="G6" s="4" t="s">
        <v>164</v>
      </c>
    </row>
    <row r="7" customFormat="false" ht="15" hidden="false" customHeight="false" outlineLevel="0" collapsed="false">
      <c r="A7" s="4" t="s">
        <v>439</v>
      </c>
      <c r="B7" s="4" t="s">
        <v>452</v>
      </c>
      <c r="C7" s="4" t="s">
        <v>453</v>
      </c>
      <c r="D7" s="4" t="s">
        <v>450</v>
      </c>
      <c r="E7" s="4" t="s">
        <v>257</v>
      </c>
      <c r="F7" s="4" t="s">
        <v>175</v>
      </c>
      <c r="G7" s="4" t="s">
        <v>170</v>
      </c>
    </row>
    <row r="8" customFormat="false" ht="15" hidden="false" customHeight="false" outlineLevel="0" collapsed="false">
      <c r="A8" s="4" t="s">
        <v>454</v>
      </c>
      <c r="B8" s="4" t="s">
        <v>455</v>
      </c>
      <c r="C8" s="4" t="s">
        <v>456</v>
      </c>
      <c r="D8" s="4" t="s">
        <v>83</v>
      </c>
      <c r="E8" s="4" t="s">
        <v>378</v>
      </c>
      <c r="F8" s="4" t="s">
        <v>457</v>
      </c>
      <c r="G8" s="4" t="s">
        <v>155</v>
      </c>
    </row>
    <row r="9" customFormat="false" ht="15" hidden="false" customHeight="false" outlineLevel="0" collapsed="false">
      <c r="A9" s="4" t="s">
        <v>454</v>
      </c>
      <c r="B9" s="4" t="s">
        <v>458</v>
      </c>
      <c r="C9" s="4" t="s">
        <v>459</v>
      </c>
      <c r="D9" s="4" t="s">
        <v>450</v>
      </c>
      <c r="E9" s="4" t="s">
        <v>460</v>
      </c>
      <c r="F9" s="4" t="s">
        <v>182</v>
      </c>
      <c r="G9" s="4" t="s">
        <v>177</v>
      </c>
    </row>
    <row r="10" customFormat="false" ht="15" hidden="false" customHeight="false" outlineLevel="0" collapsed="false">
      <c r="A10" s="4" t="s">
        <v>461</v>
      </c>
      <c r="B10" s="4" t="s">
        <v>462</v>
      </c>
      <c r="C10" s="4" t="s">
        <v>463</v>
      </c>
      <c r="D10" s="4" t="s">
        <v>464</v>
      </c>
      <c r="E10" s="4" t="s">
        <v>465</v>
      </c>
      <c r="F10" s="4" t="s">
        <v>466</v>
      </c>
      <c r="G10" s="4" t="s">
        <v>338</v>
      </c>
    </row>
    <row r="11" customFormat="false" ht="23.85" hidden="false" customHeight="false" outlineLevel="0" collapsed="false">
      <c r="A11" s="4" t="s">
        <v>461</v>
      </c>
      <c r="B11" s="4" t="s">
        <v>467</v>
      </c>
      <c r="C11" s="4" t="s">
        <v>468</v>
      </c>
      <c r="D11" s="4" t="s">
        <v>469</v>
      </c>
      <c r="E11" s="4" t="s">
        <v>470</v>
      </c>
      <c r="F11" s="4" t="s">
        <v>471</v>
      </c>
      <c r="G11" s="4" t="s">
        <v>472</v>
      </c>
    </row>
    <row r="12" customFormat="false" ht="23.85" hidden="false" customHeight="false" outlineLevel="0" collapsed="false">
      <c r="A12" s="4" t="s">
        <v>461</v>
      </c>
      <c r="B12" s="4" t="s">
        <v>473</v>
      </c>
      <c r="C12" s="4" t="s">
        <v>474</v>
      </c>
      <c r="D12" s="4" t="s">
        <v>475</v>
      </c>
      <c r="E12" s="4" t="s">
        <v>476</v>
      </c>
      <c r="F12" s="4" t="s">
        <v>477</v>
      </c>
      <c r="G12" s="4" t="s">
        <v>478</v>
      </c>
    </row>
    <row r="13" customFormat="false" ht="15" hidden="false" customHeight="false" outlineLevel="0" collapsed="false">
      <c r="A13" s="4" t="s">
        <v>479</v>
      </c>
      <c r="B13" s="4" t="s">
        <v>480</v>
      </c>
      <c r="C13" s="4" t="s">
        <v>481</v>
      </c>
      <c r="D13" s="4" t="s">
        <v>83</v>
      </c>
      <c r="E13" s="4" t="s">
        <v>482</v>
      </c>
      <c r="F13" s="4" t="s">
        <v>107</v>
      </c>
      <c r="G13" s="4" t="s">
        <v>483</v>
      </c>
    </row>
    <row r="14" customFormat="false" ht="15" hidden="false" customHeight="false" outlineLevel="0" collapsed="false">
      <c r="A14" s="4" t="s">
        <v>479</v>
      </c>
      <c r="B14" s="4" t="s">
        <v>484</v>
      </c>
      <c r="C14" s="4" t="s">
        <v>485</v>
      </c>
      <c r="D14" s="4" t="s">
        <v>450</v>
      </c>
      <c r="E14" s="4" t="s">
        <v>486</v>
      </c>
      <c r="F14" s="4" t="s">
        <v>195</v>
      </c>
      <c r="G14" s="4" t="s">
        <v>487</v>
      </c>
    </row>
    <row r="15" customFormat="false" ht="15" hidden="false" customHeight="false" outlineLevel="0" collapsed="false">
      <c r="A15" s="4" t="s">
        <v>479</v>
      </c>
      <c r="B15" s="4" t="s">
        <v>488</v>
      </c>
      <c r="C15" s="4" t="s">
        <v>489</v>
      </c>
      <c r="D15" s="4" t="s">
        <v>450</v>
      </c>
      <c r="E15" s="4" t="s">
        <v>490</v>
      </c>
      <c r="F15" s="4" t="s">
        <v>195</v>
      </c>
      <c r="G15" s="4" t="s">
        <v>491</v>
      </c>
    </row>
    <row r="16" customFormat="false" ht="15" hidden="false" customHeight="false" outlineLevel="0" collapsed="false">
      <c r="A16" s="4" t="s">
        <v>492</v>
      </c>
      <c r="B16" s="4" t="s">
        <v>493</v>
      </c>
      <c r="C16" s="4" t="s">
        <v>494</v>
      </c>
      <c r="D16" s="4" t="s">
        <v>83</v>
      </c>
      <c r="E16" s="4" t="s">
        <v>495</v>
      </c>
      <c r="F16" s="4" t="s">
        <v>107</v>
      </c>
      <c r="G16" s="4" t="s">
        <v>303</v>
      </c>
    </row>
    <row r="17" customFormat="false" ht="15" hidden="false" customHeight="false" outlineLevel="0" collapsed="false">
      <c r="A17" s="4" t="s">
        <v>492</v>
      </c>
      <c r="B17" s="4" t="s">
        <v>496</v>
      </c>
      <c r="C17" s="4" t="s">
        <v>497</v>
      </c>
      <c r="D17" s="4" t="s">
        <v>450</v>
      </c>
      <c r="E17" s="4" t="s">
        <v>498</v>
      </c>
      <c r="F17" s="4" t="s">
        <v>195</v>
      </c>
      <c r="G17" s="4" t="s">
        <v>205</v>
      </c>
    </row>
    <row r="18" customFormat="false" ht="15" hidden="false" customHeight="false" outlineLevel="0" collapsed="false">
      <c r="A18" s="4" t="s">
        <v>492</v>
      </c>
      <c r="B18" s="4" t="s">
        <v>499</v>
      </c>
      <c r="C18" s="4" t="s">
        <v>500</v>
      </c>
      <c r="D18" s="4" t="s">
        <v>450</v>
      </c>
      <c r="E18" s="4" t="s">
        <v>501</v>
      </c>
      <c r="F18" s="4" t="s">
        <v>195</v>
      </c>
      <c r="G18" s="4" t="s">
        <v>210</v>
      </c>
    </row>
    <row r="19" customFormat="false" ht="15" hidden="false" customHeight="false" outlineLevel="0" collapsed="false">
      <c r="A19" s="4" t="s">
        <v>502</v>
      </c>
      <c r="B19" s="4" t="s">
        <v>503</v>
      </c>
      <c r="C19" s="4" t="s">
        <v>504</v>
      </c>
      <c r="D19" s="4" t="s">
        <v>83</v>
      </c>
      <c r="E19" s="4" t="s">
        <v>505</v>
      </c>
      <c r="F19" s="4" t="s">
        <v>506</v>
      </c>
      <c r="G19" s="4" t="s">
        <v>507</v>
      </c>
    </row>
    <row r="20" customFormat="false" ht="15" hidden="false" customHeight="false" outlineLevel="0" collapsed="false">
      <c r="A20" s="4" t="s">
        <v>502</v>
      </c>
      <c r="B20" s="4" t="s">
        <v>508</v>
      </c>
      <c r="C20" s="4" t="s">
        <v>509</v>
      </c>
      <c r="D20" s="4" t="s">
        <v>83</v>
      </c>
      <c r="E20" s="4" t="s">
        <v>510</v>
      </c>
      <c r="F20" s="4" t="s">
        <v>107</v>
      </c>
      <c r="G20" s="4" t="s">
        <v>511</v>
      </c>
    </row>
    <row r="21" customFormat="false" ht="15" hidden="false" customHeight="false" outlineLevel="0" collapsed="false">
      <c r="A21" s="4" t="s">
        <v>502</v>
      </c>
      <c r="B21" s="4" t="s">
        <v>512</v>
      </c>
      <c r="C21" s="4" t="s">
        <v>513</v>
      </c>
      <c r="D21" s="4" t="s">
        <v>83</v>
      </c>
      <c r="E21" s="4" t="s">
        <v>514</v>
      </c>
      <c r="F21" s="4" t="s">
        <v>107</v>
      </c>
      <c r="G21" s="4" t="s">
        <v>190</v>
      </c>
    </row>
    <row r="22" customFormat="false" ht="15" hidden="false" customHeight="false" outlineLevel="0" collapsed="false">
      <c r="A22" s="4" t="s">
        <v>502</v>
      </c>
      <c r="B22" s="4" t="s">
        <v>515</v>
      </c>
      <c r="C22" s="4" t="s">
        <v>516</v>
      </c>
      <c r="D22" s="4" t="s">
        <v>450</v>
      </c>
      <c r="E22" s="4" t="s">
        <v>517</v>
      </c>
      <c r="F22" s="4" t="s">
        <v>195</v>
      </c>
      <c r="G22" s="4" t="s">
        <v>193</v>
      </c>
    </row>
    <row r="23" customFormat="false" ht="15" hidden="false" customHeight="false" outlineLevel="0" collapsed="false">
      <c r="A23" s="4" t="s">
        <v>502</v>
      </c>
      <c r="B23" s="4" t="s">
        <v>518</v>
      </c>
      <c r="C23" s="4" t="s">
        <v>519</v>
      </c>
      <c r="D23" s="4" t="s">
        <v>450</v>
      </c>
      <c r="E23" s="4" t="s">
        <v>520</v>
      </c>
      <c r="F23" s="4" t="s">
        <v>195</v>
      </c>
      <c r="G23" s="4" t="s">
        <v>521</v>
      </c>
    </row>
    <row r="24" customFormat="false" ht="15" hidden="false" customHeight="false" outlineLevel="0" collapsed="false">
      <c r="A24" s="4" t="s">
        <v>522</v>
      </c>
      <c r="B24" s="4" t="s">
        <v>523</v>
      </c>
      <c r="C24" s="4" t="s">
        <v>524</v>
      </c>
      <c r="D24" s="4" t="s">
        <v>83</v>
      </c>
      <c r="E24" s="4" t="s">
        <v>525</v>
      </c>
      <c r="F24" s="4" t="s">
        <v>526</v>
      </c>
      <c r="G24" s="4" t="s">
        <v>331</v>
      </c>
    </row>
    <row r="25" customFormat="false" ht="15" hidden="false" customHeight="false" outlineLevel="0" collapsed="false">
      <c r="A25" s="4" t="s">
        <v>522</v>
      </c>
      <c r="B25" s="4" t="s">
        <v>527</v>
      </c>
      <c r="C25" s="4" t="s">
        <v>528</v>
      </c>
      <c r="D25" s="4" t="s">
        <v>450</v>
      </c>
      <c r="E25" s="4" t="s">
        <v>529</v>
      </c>
      <c r="F25" s="4" t="s">
        <v>195</v>
      </c>
      <c r="G25" s="4" t="s">
        <v>236</v>
      </c>
    </row>
    <row r="26" customFormat="false" ht="15" hidden="false" customHeight="false" outlineLevel="0" collapsed="false">
      <c r="A26" s="4" t="s">
        <v>522</v>
      </c>
      <c r="B26" s="4" t="s">
        <v>530</v>
      </c>
      <c r="C26" s="4" t="s">
        <v>531</v>
      </c>
      <c r="D26" s="4" t="s">
        <v>450</v>
      </c>
      <c r="E26" s="4" t="s">
        <v>532</v>
      </c>
      <c r="F26" s="4" t="s">
        <v>195</v>
      </c>
      <c r="G26" s="4" t="s">
        <v>533</v>
      </c>
    </row>
    <row r="27" customFormat="false" ht="15" hidden="false" customHeight="false" outlineLevel="0" collapsed="false">
      <c r="A27" s="4" t="s">
        <v>534</v>
      </c>
      <c r="B27" s="4" t="s">
        <v>535</v>
      </c>
      <c r="C27" s="4" t="s">
        <v>536</v>
      </c>
      <c r="D27" s="4" t="s">
        <v>83</v>
      </c>
      <c r="E27" s="4" t="s">
        <v>537</v>
      </c>
      <c r="F27" s="4" t="s">
        <v>538</v>
      </c>
      <c r="G27" s="4" t="s">
        <v>539</v>
      </c>
    </row>
    <row r="28" customFormat="false" ht="15" hidden="false" customHeight="false" outlineLevel="0" collapsed="false">
      <c r="A28" s="4" t="s">
        <v>534</v>
      </c>
      <c r="B28" s="4" t="s">
        <v>540</v>
      </c>
      <c r="C28" s="4" t="s">
        <v>541</v>
      </c>
      <c r="D28" s="4" t="s">
        <v>450</v>
      </c>
      <c r="E28" s="4" t="s">
        <v>542</v>
      </c>
      <c r="F28" s="4" t="s">
        <v>543</v>
      </c>
      <c r="G28" s="4" t="s">
        <v>544</v>
      </c>
    </row>
    <row r="29" customFormat="false" ht="15" hidden="false" customHeight="false" outlineLevel="0" collapsed="false">
      <c r="A29" s="4" t="s">
        <v>534</v>
      </c>
      <c r="B29" s="4" t="s">
        <v>545</v>
      </c>
      <c r="C29" s="4" t="s">
        <v>546</v>
      </c>
      <c r="D29" s="4" t="s">
        <v>450</v>
      </c>
      <c r="E29" s="4" t="s">
        <v>547</v>
      </c>
      <c r="F29" s="4" t="s">
        <v>548</v>
      </c>
      <c r="G29" s="4" t="s">
        <v>549</v>
      </c>
    </row>
    <row r="30" customFormat="false" ht="15" hidden="false" customHeight="false" outlineLevel="0" collapsed="false">
      <c r="A30" s="4" t="s">
        <v>550</v>
      </c>
      <c r="B30" s="4" t="s">
        <v>551</v>
      </c>
      <c r="C30" s="4" t="s">
        <v>83</v>
      </c>
      <c r="D30" s="4" t="s">
        <v>83</v>
      </c>
      <c r="E30" s="4" t="s">
        <v>552</v>
      </c>
      <c r="F30" s="4" t="s">
        <v>553</v>
      </c>
      <c r="G30" s="4" t="s">
        <v>278</v>
      </c>
    </row>
    <row r="31" customFormat="false" ht="15" hidden="false" customHeight="false" outlineLevel="0" collapsed="false">
      <c r="A31" s="4" t="s">
        <v>550</v>
      </c>
      <c r="B31" s="4" t="s">
        <v>554</v>
      </c>
      <c r="C31" s="4" t="s">
        <v>450</v>
      </c>
      <c r="D31" s="4" t="s">
        <v>450</v>
      </c>
      <c r="E31" s="4" t="s">
        <v>555</v>
      </c>
      <c r="F31" s="4" t="s">
        <v>556</v>
      </c>
      <c r="G31" s="4" t="s">
        <v>264</v>
      </c>
    </row>
    <row r="32" customFormat="false" ht="15" hidden="false" customHeight="false" outlineLevel="0" collapsed="false">
      <c r="A32" s="4" t="s">
        <v>557</v>
      </c>
      <c r="B32" s="4" t="s">
        <v>558</v>
      </c>
      <c r="C32" s="4" t="s">
        <v>559</v>
      </c>
      <c r="D32" s="4" t="s">
        <v>83</v>
      </c>
      <c r="E32" s="4" t="s">
        <v>560</v>
      </c>
      <c r="F32" s="4" t="s">
        <v>561</v>
      </c>
      <c r="G32" s="4" t="s">
        <v>562</v>
      </c>
    </row>
    <row r="33" customFormat="false" ht="15" hidden="false" customHeight="false" outlineLevel="0" collapsed="false">
      <c r="A33" s="4" t="s">
        <v>557</v>
      </c>
      <c r="B33" s="4" t="s">
        <v>563</v>
      </c>
      <c r="C33" s="4" t="s">
        <v>564</v>
      </c>
      <c r="D33" s="4" t="s">
        <v>450</v>
      </c>
      <c r="E33" s="4" t="s">
        <v>565</v>
      </c>
      <c r="F33" s="4" t="s">
        <v>195</v>
      </c>
      <c r="G33" s="4" t="s">
        <v>562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60"/>
    <col collapsed="false" customWidth="true" hidden="false" outlineLevel="0" max="4" min="4" style="0" width="34"/>
    <col collapsed="false" customWidth="true" hidden="false" outlineLevel="0" max="5" min="5" style="0" width="28"/>
    <col collapsed="false" customWidth="true" hidden="false" outlineLevel="0" max="6" min="6" style="0" width="12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1" t="s">
        <v>566</v>
      </c>
    </row>
    <row r="2" customFormat="false" ht="15" hidden="false" customHeight="false" outlineLevel="0" collapsed="false">
      <c r="A2" s="9" t="s">
        <v>567</v>
      </c>
    </row>
    <row r="4" customFormat="false" ht="15" hidden="false" customHeight="false" outlineLevel="0" collapsed="false">
      <c r="A4" s="3" t="s">
        <v>345</v>
      </c>
      <c r="B4" s="3" t="s">
        <v>568</v>
      </c>
      <c r="C4" s="3" t="s">
        <v>569</v>
      </c>
      <c r="D4" s="3" t="s">
        <v>570</v>
      </c>
      <c r="E4" s="3" t="s">
        <v>571</v>
      </c>
      <c r="F4" s="3" t="s">
        <v>572</v>
      </c>
      <c r="G4" s="3" t="s">
        <v>573</v>
      </c>
    </row>
    <row r="5" customFormat="false" ht="15" hidden="false" customHeight="false" outlineLevel="0" collapsed="false">
      <c r="A5" s="4" t="s">
        <v>171</v>
      </c>
      <c r="B5" s="4" t="s">
        <v>574</v>
      </c>
      <c r="C5" s="4" t="s">
        <v>575</v>
      </c>
      <c r="D5" s="7" t="n">
        <v>1</v>
      </c>
      <c r="E5" s="4" t="n">
        <f aca="false">D5+1</f>
        <v>2</v>
      </c>
      <c r="F5" s="4" t="n">
        <f aca="false">COUNTIF($A$18:$A$76,A5)</f>
        <v>2</v>
      </c>
      <c r="G5" s="4" t="str">
        <f aca="false">IF(E5=F5,"OK","CHECK")</f>
        <v>OK</v>
      </c>
    </row>
    <row r="6" customFormat="false" ht="15" hidden="false" customHeight="false" outlineLevel="0" collapsed="false">
      <c r="A6" s="4" t="s">
        <v>75</v>
      </c>
      <c r="B6" s="4" t="s">
        <v>576</v>
      </c>
      <c r="C6" s="4" t="s">
        <v>577</v>
      </c>
      <c r="D6" s="7" t="n">
        <v>4</v>
      </c>
      <c r="E6" s="4" t="n">
        <f aca="false">D6+1</f>
        <v>5</v>
      </c>
      <c r="F6" s="4" t="n">
        <f aca="false">COUNTIF($A$18:$A$76,A6)</f>
        <v>5</v>
      </c>
      <c r="G6" s="4" t="str">
        <f aca="false">IF(E6=F6,"OK","CHECK")</f>
        <v>OK</v>
      </c>
    </row>
    <row r="7" customFormat="false" ht="23.85" hidden="false" customHeight="false" outlineLevel="0" collapsed="false">
      <c r="A7" s="4" t="s">
        <v>248</v>
      </c>
      <c r="B7" s="4" t="s">
        <v>578</v>
      </c>
      <c r="C7" s="4" t="s">
        <v>579</v>
      </c>
      <c r="D7" s="7" t="n">
        <v>5</v>
      </c>
      <c r="E7" s="4" t="n">
        <f aca="false">D7+1</f>
        <v>6</v>
      </c>
      <c r="F7" s="4" t="n">
        <f aca="false">COUNTIF($A$18:$A$76,A7)</f>
        <v>6</v>
      </c>
      <c r="G7" s="4" t="str">
        <f aca="false">IF(E7=F7,"OK","CHECK")</f>
        <v>OK</v>
      </c>
    </row>
    <row r="8" customFormat="false" ht="15" hidden="false" customHeight="false" outlineLevel="0" collapsed="false">
      <c r="A8" s="4" t="s">
        <v>580</v>
      </c>
      <c r="B8" s="4" t="s">
        <v>581</v>
      </c>
      <c r="C8" s="4" t="s">
        <v>582</v>
      </c>
      <c r="D8" s="7" t="n">
        <v>3</v>
      </c>
      <c r="E8" s="4" t="n">
        <f aca="false">D8+1</f>
        <v>4</v>
      </c>
      <c r="F8" s="4" t="n">
        <f aca="false">COUNTIF($A$18:$A$76,A8)</f>
        <v>4</v>
      </c>
      <c r="G8" s="4" t="str">
        <f aca="false">IF(E8=F8,"OK","CHECK")</f>
        <v>OK</v>
      </c>
    </row>
    <row r="9" customFormat="false" ht="35.05" hidden="false" customHeight="false" outlineLevel="0" collapsed="false">
      <c r="A9" s="4" t="s">
        <v>97</v>
      </c>
      <c r="B9" s="4" t="s">
        <v>583</v>
      </c>
      <c r="C9" s="4" t="s">
        <v>584</v>
      </c>
      <c r="D9" s="7" t="n">
        <v>14</v>
      </c>
      <c r="E9" s="4" t="n">
        <f aca="false">D9+1</f>
        <v>15</v>
      </c>
      <c r="F9" s="4" t="n">
        <f aca="false">COUNTIF($A$18:$A$76,A9)</f>
        <v>15</v>
      </c>
      <c r="G9" s="4" t="str">
        <f aca="false">IF(E9=F9,"OK","CHECK")</f>
        <v>OK</v>
      </c>
    </row>
    <row r="10" customFormat="false" ht="23.85" hidden="false" customHeight="false" outlineLevel="0" collapsed="false">
      <c r="A10" s="4" t="s">
        <v>226</v>
      </c>
      <c r="B10" s="4" t="s">
        <v>585</v>
      </c>
      <c r="C10" s="4" t="s">
        <v>586</v>
      </c>
      <c r="D10" s="7" t="n">
        <v>6</v>
      </c>
      <c r="E10" s="4" t="n">
        <f aca="false">D10+1</f>
        <v>7</v>
      </c>
      <c r="F10" s="4" t="n">
        <f aca="false">COUNTIF($A$18:$A$76,A10)</f>
        <v>7</v>
      </c>
      <c r="G10" s="4" t="str">
        <f aca="false">IF(E10=F10,"OK","CHECK")</f>
        <v>OK</v>
      </c>
    </row>
    <row r="11" customFormat="false" ht="15" hidden="false" customHeight="false" outlineLevel="0" collapsed="false">
      <c r="A11" s="4" t="s">
        <v>178</v>
      </c>
      <c r="B11" s="4" t="s">
        <v>587</v>
      </c>
      <c r="C11" s="4" t="s">
        <v>588</v>
      </c>
      <c r="D11" s="7" t="n">
        <v>3</v>
      </c>
      <c r="E11" s="4" t="n">
        <f aca="false">D11+1</f>
        <v>4</v>
      </c>
      <c r="F11" s="4" t="n">
        <f aca="false">COUNTIF($A$18:$A$76,A11)</f>
        <v>4</v>
      </c>
      <c r="G11" s="4" t="str">
        <f aca="false">IF(E11=F11,"OK","CHECK")</f>
        <v>OK</v>
      </c>
    </row>
    <row r="12" customFormat="false" ht="15" hidden="false" customHeight="false" outlineLevel="0" collapsed="false">
      <c r="A12" s="4" t="s">
        <v>165</v>
      </c>
      <c r="B12" s="4" t="s">
        <v>589</v>
      </c>
      <c r="C12" s="4" t="s">
        <v>588</v>
      </c>
      <c r="D12" s="7" t="n">
        <v>3</v>
      </c>
      <c r="E12" s="4" t="n">
        <f aca="false">D12+1</f>
        <v>4</v>
      </c>
      <c r="F12" s="4" t="n">
        <f aca="false">COUNTIF($A$18:$A$76,A12)</f>
        <v>4</v>
      </c>
      <c r="G12" s="4" t="str">
        <f aca="false">IF(E12=F12,"OK","CHECK")</f>
        <v>OK</v>
      </c>
    </row>
    <row r="13" customFormat="false" ht="15" hidden="false" customHeight="false" outlineLevel="0" collapsed="false">
      <c r="A13" s="4" t="s">
        <v>326</v>
      </c>
      <c r="B13" s="4" t="s">
        <v>590</v>
      </c>
      <c r="C13" s="4" t="s">
        <v>591</v>
      </c>
      <c r="D13" s="7" t="n">
        <v>4</v>
      </c>
      <c r="E13" s="4" t="n">
        <f aca="false">D13+1</f>
        <v>5</v>
      </c>
      <c r="F13" s="4" t="n">
        <f aca="false">COUNTIF($A$18:$A$76,A13)</f>
        <v>5</v>
      </c>
      <c r="G13" s="4" t="str">
        <f aca="false">IF(E13=F13,"OK","CHECK")</f>
        <v>OK</v>
      </c>
    </row>
    <row r="14" customFormat="false" ht="23.85" hidden="false" customHeight="false" outlineLevel="0" collapsed="false">
      <c r="A14" s="4" t="s">
        <v>149</v>
      </c>
      <c r="B14" s="4" t="s">
        <v>592</v>
      </c>
      <c r="C14" s="4" t="s">
        <v>593</v>
      </c>
      <c r="D14" s="7" t="n">
        <v>6</v>
      </c>
      <c r="E14" s="4" t="n">
        <f aca="false">D14+1</f>
        <v>7</v>
      </c>
      <c r="F14" s="4" t="n">
        <f aca="false">COUNTIF($A$18:$A$76,A14)</f>
        <v>7</v>
      </c>
      <c r="G14" s="4" t="str">
        <f aca="false">IF(E14=F14,"OK","CHECK")</f>
        <v>OK</v>
      </c>
    </row>
    <row r="15" customFormat="false" ht="15" hidden="false" customHeight="false" outlineLevel="0" collapsed="false">
      <c r="A15" s="5" t="s">
        <v>11</v>
      </c>
      <c r="B15" s="5"/>
      <c r="C15" s="5"/>
      <c r="D15" s="5" t="n">
        <f aca="false">SUM(D5:D14)</f>
        <v>49</v>
      </c>
      <c r="E15" s="5" t="n">
        <f aca="false">SUM(E5:E14)</f>
        <v>59</v>
      </c>
      <c r="F15" s="5" t="n">
        <f aca="false">SUM(F5:F14)</f>
        <v>59</v>
      </c>
      <c r="G15" s="5"/>
    </row>
    <row r="17" customFormat="false" ht="15" hidden="false" customHeight="false" outlineLevel="0" collapsed="false">
      <c r="A17" s="3" t="s">
        <v>345</v>
      </c>
      <c r="B17" s="3" t="s">
        <v>594</v>
      </c>
      <c r="C17" s="3" t="s">
        <v>595</v>
      </c>
      <c r="D17" s="3" t="s">
        <v>596</v>
      </c>
      <c r="E17" s="3" t="s">
        <v>597</v>
      </c>
    </row>
    <row r="18" customFormat="false" ht="15" hidden="false" customHeight="false" outlineLevel="0" collapsed="false">
      <c r="A18" s="4" t="s">
        <v>171</v>
      </c>
      <c r="B18" s="4" t="s">
        <v>598</v>
      </c>
      <c r="C18" s="4" t="s">
        <v>575</v>
      </c>
      <c r="D18" s="4" t="s">
        <v>175</v>
      </c>
      <c r="E18" s="4" t="s">
        <v>255</v>
      </c>
    </row>
    <row r="19" customFormat="false" ht="15" hidden="false" customHeight="false" outlineLevel="0" collapsed="false">
      <c r="A19" s="4" t="s">
        <v>171</v>
      </c>
      <c r="B19" s="4" t="s">
        <v>599</v>
      </c>
      <c r="C19" s="4" t="s">
        <v>600</v>
      </c>
      <c r="D19" s="4" t="s">
        <v>601</v>
      </c>
      <c r="E19" s="4" t="s">
        <v>259</v>
      </c>
    </row>
    <row r="20" customFormat="false" ht="15" hidden="false" customHeight="false" outlineLevel="0" collapsed="false">
      <c r="A20" s="4" t="s">
        <v>75</v>
      </c>
      <c r="B20" s="4" t="s">
        <v>598</v>
      </c>
      <c r="C20" s="4" t="s">
        <v>602</v>
      </c>
      <c r="D20" s="4" t="s">
        <v>603</v>
      </c>
      <c r="E20" s="4" t="s">
        <v>264</v>
      </c>
    </row>
    <row r="21" customFormat="false" ht="15" hidden="false" customHeight="false" outlineLevel="0" collapsed="false">
      <c r="A21" s="4" t="s">
        <v>75</v>
      </c>
      <c r="B21" s="4" t="s">
        <v>599</v>
      </c>
      <c r="C21" s="4" t="s">
        <v>604</v>
      </c>
      <c r="D21" s="4" t="s">
        <v>605</v>
      </c>
      <c r="E21" s="4" t="s">
        <v>270</v>
      </c>
    </row>
    <row r="22" customFormat="false" ht="15" hidden="false" customHeight="false" outlineLevel="0" collapsed="false">
      <c r="A22" s="4" t="s">
        <v>75</v>
      </c>
      <c r="B22" s="4" t="s">
        <v>606</v>
      </c>
      <c r="C22" s="4" t="s">
        <v>607</v>
      </c>
      <c r="D22" s="4" t="s">
        <v>608</v>
      </c>
      <c r="E22" s="4" t="s">
        <v>274</v>
      </c>
    </row>
    <row r="23" customFormat="false" ht="15" hidden="false" customHeight="false" outlineLevel="0" collapsed="false">
      <c r="A23" s="4" t="s">
        <v>75</v>
      </c>
      <c r="B23" s="4" t="s">
        <v>609</v>
      </c>
      <c r="C23" s="4" t="s">
        <v>610</v>
      </c>
      <c r="D23" s="4" t="s">
        <v>611</v>
      </c>
      <c r="E23" s="4" t="s">
        <v>278</v>
      </c>
    </row>
    <row r="24" customFormat="false" ht="15" hidden="false" customHeight="false" outlineLevel="0" collapsed="false">
      <c r="A24" s="4" t="s">
        <v>75</v>
      </c>
      <c r="B24" s="4" t="s">
        <v>612</v>
      </c>
      <c r="C24" s="4" t="s">
        <v>613</v>
      </c>
      <c r="D24" s="4" t="s">
        <v>614</v>
      </c>
      <c r="E24" s="4" t="s">
        <v>282</v>
      </c>
    </row>
    <row r="25" customFormat="false" ht="15" hidden="false" customHeight="false" outlineLevel="0" collapsed="false">
      <c r="A25" s="4" t="s">
        <v>248</v>
      </c>
      <c r="B25" s="4" t="s">
        <v>598</v>
      </c>
      <c r="C25" s="4" t="s">
        <v>288</v>
      </c>
      <c r="D25" s="4" t="s">
        <v>182</v>
      </c>
      <c r="E25" s="4" t="s">
        <v>287</v>
      </c>
    </row>
    <row r="26" customFormat="false" ht="15" hidden="false" customHeight="false" outlineLevel="0" collapsed="false">
      <c r="A26" s="4" t="s">
        <v>248</v>
      </c>
      <c r="B26" s="4" t="s">
        <v>599</v>
      </c>
      <c r="C26" s="4" t="s">
        <v>602</v>
      </c>
      <c r="D26" s="4" t="s">
        <v>615</v>
      </c>
      <c r="E26" s="4" t="s">
        <v>616</v>
      </c>
    </row>
    <row r="27" customFormat="false" ht="15" hidden="false" customHeight="false" outlineLevel="0" collapsed="false">
      <c r="A27" s="4" t="s">
        <v>248</v>
      </c>
      <c r="B27" s="4" t="s">
        <v>606</v>
      </c>
      <c r="C27" s="4" t="s">
        <v>617</v>
      </c>
      <c r="D27" s="4" t="s">
        <v>605</v>
      </c>
      <c r="E27" s="4" t="s">
        <v>618</v>
      </c>
    </row>
    <row r="28" customFormat="false" ht="15" hidden="false" customHeight="false" outlineLevel="0" collapsed="false">
      <c r="A28" s="4" t="s">
        <v>248</v>
      </c>
      <c r="B28" s="4" t="s">
        <v>609</v>
      </c>
      <c r="C28" s="4" t="s">
        <v>619</v>
      </c>
      <c r="D28" s="4" t="s">
        <v>608</v>
      </c>
      <c r="E28" s="4" t="s">
        <v>293</v>
      </c>
    </row>
    <row r="29" customFormat="false" ht="15" hidden="false" customHeight="false" outlineLevel="0" collapsed="false">
      <c r="A29" s="4" t="s">
        <v>248</v>
      </c>
      <c r="B29" s="4" t="s">
        <v>612</v>
      </c>
      <c r="C29" s="4" t="s">
        <v>620</v>
      </c>
      <c r="D29" s="4" t="s">
        <v>611</v>
      </c>
      <c r="E29" s="4" t="s">
        <v>621</v>
      </c>
    </row>
    <row r="30" customFormat="false" ht="15" hidden="false" customHeight="false" outlineLevel="0" collapsed="false">
      <c r="A30" s="4" t="s">
        <v>248</v>
      </c>
      <c r="B30" s="4" t="s">
        <v>622</v>
      </c>
      <c r="C30" s="4" t="s">
        <v>623</v>
      </c>
      <c r="D30" s="4" t="s">
        <v>614</v>
      </c>
      <c r="E30" s="4" t="s">
        <v>296</v>
      </c>
    </row>
    <row r="31" customFormat="false" ht="15" hidden="false" customHeight="false" outlineLevel="0" collapsed="false">
      <c r="A31" s="4" t="s">
        <v>580</v>
      </c>
      <c r="B31" s="4" t="s">
        <v>598</v>
      </c>
      <c r="C31" s="4" t="s">
        <v>624</v>
      </c>
      <c r="D31" s="4" t="s">
        <v>182</v>
      </c>
      <c r="E31" s="4" t="s">
        <v>625</v>
      </c>
    </row>
    <row r="32" customFormat="false" ht="15" hidden="false" customHeight="false" outlineLevel="0" collapsed="false">
      <c r="A32" s="4" t="s">
        <v>580</v>
      </c>
      <c r="B32" s="4" t="s">
        <v>599</v>
      </c>
      <c r="C32" s="4" t="s">
        <v>626</v>
      </c>
      <c r="D32" s="4" t="s">
        <v>168</v>
      </c>
      <c r="E32" s="4" t="s">
        <v>627</v>
      </c>
    </row>
    <row r="33" customFormat="false" ht="15" hidden="false" customHeight="false" outlineLevel="0" collapsed="false">
      <c r="A33" s="4" t="s">
        <v>580</v>
      </c>
      <c r="B33" s="4" t="s">
        <v>606</v>
      </c>
      <c r="C33" s="4" t="s">
        <v>628</v>
      </c>
      <c r="D33" s="4" t="s">
        <v>629</v>
      </c>
      <c r="E33" s="4" t="s">
        <v>155</v>
      </c>
    </row>
    <row r="34" customFormat="false" ht="15" hidden="false" customHeight="false" outlineLevel="0" collapsed="false">
      <c r="A34" s="4" t="s">
        <v>580</v>
      </c>
      <c r="B34" s="4" t="s">
        <v>609</v>
      </c>
      <c r="C34" s="4" t="s">
        <v>630</v>
      </c>
      <c r="D34" s="4" t="s">
        <v>629</v>
      </c>
      <c r="E34" s="4" t="s">
        <v>160</v>
      </c>
    </row>
    <row r="35" customFormat="false" ht="15" hidden="false" customHeight="false" outlineLevel="0" collapsed="false">
      <c r="A35" s="4" t="s">
        <v>97</v>
      </c>
      <c r="B35" s="4" t="s">
        <v>598</v>
      </c>
      <c r="C35" s="4" t="s">
        <v>631</v>
      </c>
      <c r="D35" s="4" t="s">
        <v>632</v>
      </c>
      <c r="E35" s="4" t="s">
        <v>299</v>
      </c>
    </row>
    <row r="36" customFormat="false" ht="15" hidden="false" customHeight="false" outlineLevel="0" collapsed="false">
      <c r="A36" s="4" t="s">
        <v>97</v>
      </c>
      <c r="B36" s="4" t="s">
        <v>599</v>
      </c>
      <c r="C36" s="4" t="s">
        <v>633</v>
      </c>
      <c r="D36" s="4" t="s">
        <v>632</v>
      </c>
      <c r="E36" s="4" t="s">
        <v>634</v>
      </c>
    </row>
    <row r="37" customFormat="false" ht="15" hidden="false" customHeight="false" outlineLevel="0" collapsed="false">
      <c r="A37" s="4" t="s">
        <v>97</v>
      </c>
      <c r="B37" s="4" t="s">
        <v>606</v>
      </c>
      <c r="C37" s="4" t="s">
        <v>624</v>
      </c>
      <c r="D37" s="4" t="s">
        <v>182</v>
      </c>
      <c r="E37" s="4" t="s">
        <v>635</v>
      </c>
    </row>
    <row r="38" customFormat="false" ht="15" hidden="false" customHeight="false" outlineLevel="0" collapsed="false">
      <c r="A38" s="4" t="s">
        <v>97</v>
      </c>
      <c r="B38" s="4" t="s">
        <v>609</v>
      </c>
      <c r="C38" s="4" t="s">
        <v>636</v>
      </c>
      <c r="D38" s="4" t="s">
        <v>168</v>
      </c>
      <c r="E38" s="4" t="s">
        <v>637</v>
      </c>
    </row>
    <row r="39" customFormat="false" ht="15" hidden="false" customHeight="false" outlineLevel="0" collapsed="false">
      <c r="A39" s="4" t="s">
        <v>97</v>
      </c>
      <c r="B39" s="4" t="s">
        <v>612</v>
      </c>
      <c r="C39" s="4" t="s">
        <v>630</v>
      </c>
      <c r="D39" s="4" t="s">
        <v>107</v>
      </c>
      <c r="E39" s="4" t="s">
        <v>303</v>
      </c>
    </row>
    <row r="40" customFormat="false" ht="15" hidden="false" customHeight="false" outlineLevel="0" collapsed="false">
      <c r="A40" s="4" t="s">
        <v>97</v>
      </c>
      <c r="B40" s="4" t="s">
        <v>622</v>
      </c>
      <c r="C40" s="4" t="s">
        <v>638</v>
      </c>
      <c r="D40" s="4" t="s">
        <v>632</v>
      </c>
      <c r="E40" s="4" t="s">
        <v>205</v>
      </c>
    </row>
    <row r="41" customFormat="false" ht="15" hidden="false" customHeight="false" outlineLevel="0" collapsed="false">
      <c r="A41" s="4" t="s">
        <v>97</v>
      </c>
      <c r="B41" s="4" t="s">
        <v>639</v>
      </c>
      <c r="C41" s="4" t="s">
        <v>640</v>
      </c>
      <c r="D41" s="4" t="s">
        <v>641</v>
      </c>
      <c r="E41" s="4" t="s">
        <v>642</v>
      </c>
    </row>
    <row r="42" customFormat="false" ht="15" hidden="false" customHeight="false" outlineLevel="0" collapsed="false">
      <c r="A42" s="4" t="s">
        <v>97</v>
      </c>
      <c r="B42" s="4" t="s">
        <v>643</v>
      </c>
      <c r="C42" s="4" t="s">
        <v>644</v>
      </c>
      <c r="D42" s="4" t="s">
        <v>107</v>
      </c>
      <c r="E42" s="4" t="s">
        <v>184</v>
      </c>
    </row>
    <row r="43" customFormat="false" ht="15" hidden="false" customHeight="false" outlineLevel="0" collapsed="false">
      <c r="A43" s="4" t="s">
        <v>97</v>
      </c>
      <c r="B43" s="4" t="s">
        <v>645</v>
      </c>
      <c r="C43" s="4" t="s">
        <v>646</v>
      </c>
      <c r="D43" s="4" t="s">
        <v>107</v>
      </c>
      <c r="E43" s="4" t="s">
        <v>187</v>
      </c>
    </row>
    <row r="44" customFormat="false" ht="15" hidden="false" customHeight="false" outlineLevel="0" collapsed="false">
      <c r="A44" s="4" t="s">
        <v>97</v>
      </c>
      <c r="B44" s="4" t="s">
        <v>647</v>
      </c>
      <c r="C44" s="4" t="s">
        <v>648</v>
      </c>
      <c r="D44" s="4" t="s">
        <v>107</v>
      </c>
      <c r="E44" s="4" t="s">
        <v>190</v>
      </c>
    </row>
    <row r="45" customFormat="false" ht="15" hidden="false" customHeight="false" outlineLevel="0" collapsed="false">
      <c r="A45" s="4" t="s">
        <v>97</v>
      </c>
      <c r="B45" s="4" t="s">
        <v>649</v>
      </c>
      <c r="C45" s="4" t="s">
        <v>650</v>
      </c>
      <c r="D45" s="4" t="s">
        <v>632</v>
      </c>
      <c r="E45" s="4" t="s">
        <v>651</v>
      </c>
    </row>
    <row r="46" customFormat="false" ht="15" hidden="false" customHeight="false" outlineLevel="0" collapsed="false">
      <c r="A46" s="4" t="s">
        <v>97</v>
      </c>
      <c r="B46" s="4" t="s">
        <v>652</v>
      </c>
      <c r="C46" s="4" t="s">
        <v>653</v>
      </c>
      <c r="D46" s="4" t="s">
        <v>632</v>
      </c>
      <c r="E46" s="4" t="s">
        <v>308</v>
      </c>
    </row>
    <row r="47" customFormat="false" ht="15" hidden="false" customHeight="false" outlineLevel="0" collapsed="false">
      <c r="A47" s="4" t="s">
        <v>97</v>
      </c>
      <c r="B47" s="4" t="s">
        <v>654</v>
      </c>
      <c r="C47" s="4" t="s">
        <v>655</v>
      </c>
      <c r="D47" s="4" t="s">
        <v>656</v>
      </c>
      <c r="E47" s="4" t="s">
        <v>642</v>
      </c>
    </row>
    <row r="48" customFormat="false" ht="15" hidden="false" customHeight="false" outlineLevel="0" collapsed="false">
      <c r="A48" s="4" t="s">
        <v>97</v>
      </c>
      <c r="B48" s="4" t="s">
        <v>657</v>
      </c>
      <c r="C48" s="4" t="s">
        <v>658</v>
      </c>
      <c r="D48" s="4" t="s">
        <v>632</v>
      </c>
      <c r="E48" s="4" t="s">
        <v>659</v>
      </c>
    </row>
    <row r="49" customFormat="false" ht="15" hidden="false" customHeight="false" outlineLevel="0" collapsed="false">
      <c r="A49" s="4" t="s">
        <v>97</v>
      </c>
      <c r="B49" s="4" t="s">
        <v>660</v>
      </c>
      <c r="C49" s="4" t="s">
        <v>661</v>
      </c>
      <c r="D49" s="4" t="s">
        <v>662</v>
      </c>
      <c r="E49" s="4" t="s">
        <v>663</v>
      </c>
    </row>
    <row r="50" customFormat="false" ht="15" hidden="false" customHeight="false" outlineLevel="0" collapsed="false">
      <c r="A50" s="4" t="s">
        <v>226</v>
      </c>
      <c r="B50" s="4" t="s">
        <v>598</v>
      </c>
      <c r="C50" s="4" t="s">
        <v>664</v>
      </c>
      <c r="D50" s="4" t="s">
        <v>182</v>
      </c>
      <c r="E50" s="4" t="s">
        <v>665</v>
      </c>
    </row>
    <row r="51" customFormat="false" ht="15" hidden="false" customHeight="false" outlineLevel="0" collapsed="false">
      <c r="A51" s="4" t="s">
        <v>226</v>
      </c>
      <c r="B51" s="4" t="s">
        <v>599</v>
      </c>
      <c r="C51" s="4" t="s">
        <v>624</v>
      </c>
      <c r="D51" s="4" t="s">
        <v>168</v>
      </c>
      <c r="E51" s="4" t="s">
        <v>666</v>
      </c>
    </row>
    <row r="52" customFormat="false" ht="15" hidden="false" customHeight="false" outlineLevel="0" collapsed="false">
      <c r="A52" s="4" t="s">
        <v>226</v>
      </c>
      <c r="B52" s="4" t="s">
        <v>606</v>
      </c>
      <c r="C52" s="4" t="s">
        <v>636</v>
      </c>
      <c r="D52" s="4" t="s">
        <v>168</v>
      </c>
      <c r="E52" s="4" t="s">
        <v>667</v>
      </c>
    </row>
    <row r="53" customFormat="false" ht="15" hidden="false" customHeight="false" outlineLevel="0" collapsed="false">
      <c r="A53" s="4" t="s">
        <v>226</v>
      </c>
      <c r="B53" s="4" t="s">
        <v>609</v>
      </c>
      <c r="C53" s="4" t="s">
        <v>668</v>
      </c>
      <c r="D53" s="4" t="s">
        <v>669</v>
      </c>
      <c r="E53" s="4" t="s">
        <v>670</v>
      </c>
    </row>
    <row r="54" customFormat="false" ht="15" hidden="false" customHeight="false" outlineLevel="0" collapsed="false">
      <c r="A54" s="4" t="s">
        <v>226</v>
      </c>
      <c r="B54" s="4" t="s">
        <v>612</v>
      </c>
      <c r="C54" s="4" t="s">
        <v>671</v>
      </c>
      <c r="D54" s="4" t="s">
        <v>168</v>
      </c>
      <c r="E54" s="4" t="s">
        <v>312</v>
      </c>
    </row>
    <row r="55" customFormat="false" ht="15" hidden="false" customHeight="false" outlineLevel="0" collapsed="false">
      <c r="A55" s="4" t="s">
        <v>226</v>
      </c>
      <c r="B55" s="4" t="s">
        <v>622</v>
      </c>
      <c r="C55" s="4" t="s">
        <v>672</v>
      </c>
      <c r="D55" s="4" t="s">
        <v>632</v>
      </c>
      <c r="E55" s="4" t="s">
        <v>659</v>
      </c>
    </row>
    <row r="56" customFormat="false" ht="15" hidden="false" customHeight="false" outlineLevel="0" collapsed="false">
      <c r="A56" s="4" t="s">
        <v>226</v>
      </c>
      <c r="B56" s="4" t="s">
        <v>639</v>
      </c>
      <c r="C56" s="4" t="s">
        <v>673</v>
      </c>
      <c r="D56" s="4" t="s">
        <v>669</v>
      </c>
      <c r="E56" s="4" t="s">
        <v>317</v>
      </c>
    </row>
    <row r="57" customFormat="false" ht="15" hidden="false" customHeight="false" outlineLevel="0" collapsed="false">
      <c r="A57" s="4" t="s">
        <v>178</v>
      </c>
      <c r="B57" s="4" t="s">
        <v>598</v>
      </c>
      <c r="C57" s="4" t="s">
        <v>624</v>
      </c>
      <c r="D57" s="4" t="s">
        <v>182</v>
      </c>
      <c r="E57" s="4" t="s">
        <v>674</v>
      </c>
    </row>
    <row r="58" customFormat="false" ht="15" hidden="false" customHeight="false" outlineLevel="0" collapsed="false">
      <c r="A58" s="4" t="s">
        <v>178</v>
      </c>
      <c r="B58" s="4" t="s">
        <v>599</v>
      </c>
      <c r="C58" s="4" t="s">
        <v>636</v>
      </c>
      <c r="D58" s="4" t="s">
        <v>168</v>
      </c>
      <c r="E58" s="4" t="s">
        <v>675</v>
      </c>
    </row>
    <row r="59" customFormat="false" ht="15" hidden="false" customHeight="false" outlineLevel="0" collapsed="false">
      <c r="A59" s="4" t="s">
        <v>178</v>
      </c>
      <c r="B59" s="4" t="s">
        <v>606</v>
      </c>
      <c r="C59" s="4" t="s">
        <v>628</v>
      </c>
      <c r="D59" s="4" t="s">
        <v>676</v>
      </c>
      <c r="E59" s="4" t="s">
        <v>677</v>
      </c>
    </row>
    <row r="60" customFormat="false" ht="15" hidden="false" customHeight="false" outlineLevel="0" collapsed="false">
      <c r="A60" s="4" t="s">
        <v>178</v>
      </c>
      <c r="B60" s="4" t="s">
        <v>609</v>
      </c>
      <c r="C60" s="4" t="s">
        <v>630</v>
      </c>
      <c r="D60" s="4" t="s">
        <v>678</v>
      </c>
      <c r="E60" s="4" t="s">
        <v>322</v>
      </c>
    </row>
    <row r="61" customFormat="false" ht="15" hidden="false" customHeight="false" outlineLevel="0" collapsed="false">
      <c r="A61" s="4" t="s">
        <v>165</v>
      </c>
      <c r="B61" s="4" t="s">
        <v>598</v>
      </c>
      <c r="C61" s="4" t="s">
        <v>624</v>
      </c>
      <c r="D61" s="4" t="s">
        <v>182</v>
      </c>
      <c r="E61" s="4" t="s">
        <v>679</v>
      </c>
    </row>
    <row r="62" customFormat="false" ht="15" hidden="false" customHeight="false" outlineLevel="0" collapsed="false">
      <c r="A62" s="4" t="s">
        <v>165</v>
      </c>
      <c r="B62" s="4" t="s">
        <v>599</v>
      </c>
      <c r="C62" s="4" t="s">
        <v>636</v>
      </c>
      <c r="D62" s="4" t="s">
        <v>168</v>
      </c>
      <c r="E62" s="4" t="s">
        <v>680</v>
      </c>
    </row>
    <row r="63" customFormat="false" ht="15" hidden="false" customHeight="false" outlineLevel="0" collapsed="false">
      <c r="A63" s="4" t="s">
        <v>165</v>
      </c>
      <c r="B63" s="4" t="s">
        <v>606</v>
      </c>
      <c r="C63" s="4" t="s">
        <v>628</v>
      </c>
      <c r="D63" s="4" t="s">
        <v>681</v>
      </c>
      <c r="E63" s="4" t="s">
        <v>682</v>
      </c>
    </row>
    <row r="64" customFormat="false" ht="15" hidden="false" customHeight="false" outlineLevel="0" collapsed="false">
      <c r="A64" s="4" t="s">
        <v>165</v>
      </c>
      <c r="B64" s="4" t="s">
        <v>609</v>
      </c>
      <c r="C64" s="4" t="s">
        <v>630</v>
      </c>
      <c r="D64" s="4" t="s">
        <v>681</v>
      </c>
      <c r="E64" s="4" t="s">
        <v>683</v>
      </c>
    </row>
    <row r="65" customFormat="false" ht="15" hidden="false" customHeight="false" outlineLevel="0" collapsed="false">
      <c r="A65" s="4" t="s">
        <v>326</v>
      </c>
      <c r="B65" s="4" t="s">
        <v>598</v>
      </c>
      <c r="C65" s="4" t="s">
        <v>624</v>
      </c>
      <c r="D65" s="4" t="s">
        <v>168</v>
      </c>
      <c r="E65" s="4" t="s">
        <v>684</v>
      </c>
    </row>
    <row r="66" customFormat="false" ht="15" hidden="false" customHeight="false" outlineLevel="0" collapsed="false">
      <c r="A66" s="4" t="s">
        <v>326</v>
      </c>
      <c r="B66" s="4" t="s">
        <v>599</v>
      </c>
      <c r="C66" s="4" t="s">
        <v>636</v>
      </c>
      <c r="D66" s="4" t="s">
        <v>168</v>
      </c>
      <c r="E66" s="4" t="s">
        <v>683</v>
      </c>
    </row>
    <row r="67" customFormat="false" ht="15" hidden="false" customHeight="false" outlineLevel="0" collapsed="false">
      <c r="A67" s="4" t="s">
        <v>326</v>
      </c>
      <c r="B67" s="4" t="s">
        <v>606</v>
      </c>
      <c r="C67" s="4" t="s">
        <v>685</v>
      </c>
      <c r="D67" s="4" t="s">
        <v>686</v>
      </c>
      <c r="E67" s="4" t="s">
        <v>331</v>
      </c>
    </row>
    <row r="68" customFormat="false" ht="15" hidden="false" customHeight="false" outlineLevel="0" collapsed="false">
      <c r="A68" s="4" t="s">
        <v>326</v>
      </c>
      <c r="B68" s="4" t="s">
        <v>609</v>
      </c>
      <c r="C68" s="4" t="s">
        <v>687</v>
      </c>
      <c r="D68" s="4" t="s">
        <v>688</v>
      </c>
      <c r="E68" s="4" t="s">
        <v>325</v>
      </c>
    </row>
    <row r="69" customFormat="false" ht="15" hidden="false" customHeight="false" outlineLevel="0" collapsed="false">
      <c r="A69" s="4" t="s">
        <v>326</v>
      </c>
      <c r="B69" s="4" t="s">
        <v>612</v>
      </c>
      <c r="C69" s="4" t="s">
        <v>689</v>
      </c>
      <c r="D69" s="4" t="s">
        <v>686</v>
      </c>
      <c r="E69" s="4" t="s">
        <v>690</v>
      </c>
    </row>
    <row r="70" customFormat="false" ht="15" hidden="false" customHeight="false" outlineLevel="0" collapsed="false">
      <c r="A70" s="4" t="s">
        <v>149</v>
      </c>
      <c r="B70" s="4" t="s">
        <v>598</v>
      </c>
      <c r="C70" s="4" t="s">
        <v>624</v>
      </c>
      <c r="D70" s="4" t="s">
        <v>182</v>
      </c>
      <c r="E70" s="4" t="s">
        <v>691</v>
      </c>
    </row>
    <row r="71" customFormat="false" ht="15" hidden="false" customHeight="false" outlineLevel="0" collapsed="false">
      <c r="A71" s="4" t="s">
        <v>149</v>
      </c>
      <c r="B71" s="4" t="s">
        <v>599</v>
      </c>
      <c r="C71" s="4" t="s">
        <v>636</v>
      </c>
      <c r="D71" s="4" t="s">
        <v>168</v>
      </c>
      <c r="E71" s="4" t="s">
        <v>692</v>
      </c>
    </row>
    <row r="72" customFormat="false" ht="15" hidden="false" customHeight="false" outlineLevel="0" collapsed="false">
      <c r="A72" s="4" t="s">
        <v>149</v>
      </c>
      <c r="B72" s="4" t="s">
        <v>606</v>
      </c>
      <c r="C72" s="4" t="s">
        <v>693</v>
      </c>
      <c r="D72" s="4" t="s">
        <v>669</v>
      </c>
      <c r="E72" s="4" t="s">
        <v>683</v>
      </c>
    </row>
    <row r="73" customFormat="false" ht="15" hidden="false" customHeight="false" outlineLevel="0" collapsed="false">
      <c r="A73" s="4" t="s">
        <v>149</v>
      </c>
      <c r="B73" s="4" t="s">
        <v>609</v>
      </c>
      <c r="C73" s="4" t="s">
        <v>694</v>
      </c>
      <c r="D73" s="4" t="s">
        <v>695</v>
      </c>
      <c r="E73" s="4" t="s">
        <v>334</v>
      </c>
    </row>
    <row r="74" customFormat="false" ht="15" hidden="false" customHeight="false" outlineLevel="0" collapsed="false">
      <c r="A74" s="4" t="s">
        <v>149</v>
      </c>
      <c r="B74" s="4" t="s">
        <v>612</v>
      </c>
      <c r="C74" s="4" t="s">
        <v>696</v>
      </c>
      <c r="D74" s="4" t="s">
        <v>669</v>
      </c>
      <c r="E74" s="4" t="s">
        <v>338</v>
      </c>
    </row>
    <row r="75" customFormat="false" ht="15" hidden="false" customHeight="false" outlineLevel="0" collapsed="false">
      <c r="A75" s="4" t="s">
        <v>149</v>
      </c>
      <c r="B75" s="4" t="s">
        <v>622</v>
      </c>
      <c r="C75" s="4" t="s">
        <v>697</v>
      </c>
      <c r="D75" s="4" t="s">
        <v>669</v>
      </c>
      <c r="E75" s="4" t="s">
        <v>698</v>
      </c>
    </row>
    <row r="76" customFormat="false" ht="15" hidden="false" customHeight="false" outlineLevel="0" collapsed="false">
      <c r="A76" s="4" t="s">
        <v>149</v>
      </c>
      <c r="B76" s="4" t="s">
        <v>639</v>
      </c>
      <c r="C76" s="4" t="s">
        <v>672</v>
      </c>
      <c r="D76" s="4" t="s">
        <v>632</v>
      </c>
      <c r="E76" s="4" t="s">
        <v>659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38"/>
    <col collapsed="false" customWidth="true" hidden="false" outlineLevel="0" max="6" min="6" style="0" width="26"/>
    <col collapsed="false" customWidth="true" hidden="false" outlineLevel="0" max="7" min="7" style="0" width="40"/>
    <col collapsed="false" customWidth="true" hidden="false" outlineLevel="0" max="8" min="8" style="0" width="30"/>
    <col collapsed="false" customWidth="true" hidden="false" outlineLevel="0" max="9" min="9" style="0" width="44"/>
    <col collapsed="false" customWidth="true" hidden="false" outlineLevel="0" max="11" min="10" style="0" width="40"/>
    <col collapsed="false" customWidth="true" hidden="false" outlineLevel="0" max="12" min="12" style="0" width="11"/>
    <col collapsed="false" customWidth="true" hidden="false" outlineLevel="0" max="13" min="13" style="0" width="14"/>
  </cols>
  <sheetData>
    <row r="1" customFormat="false" ht="17.35" hidden="false" customHeight="false" outlineLevel="0" collapsed="false">
      <c r="A1" s="1" t="s">
        <v>699</v>
      </c>
    </row>
    <row r="3" customFormat="false" ht="23.85" hidden="false" customHeight="false" outlineLevel="0" collapsed="false">
      <c r="A3" s="3" t="s">
        <v>52</v>
      </c>
      <c r="B3" s="3" t="s">
        <v>700</v>
      </c>
      <c r="C3" s="3" t="s">
        <v>13</v>
      </c>
      <c r="D3" s="3" t="s">
        <v>45</v>
      </c>
      <c r="E3" s="3" t="s">
        <v>701</v>
      </c>
      <c r="F3" s="3" t="s">
        <v>46</v>
      </c>
      <c r="G3" s="3" t="s">
        <v>702</v>
      </c>
      <c r="H3" s="3" t="s">
        <v>49</v>
      </c>
      <c r="I3" s="3" t="s">
        <v>703</v>
      </c>
      <c r="J3" s="3" t="s">
        <v>704</v>
      </c>
      <c r="K3" s="3" t="s">
        <v>705</v>
      </c>
      <c r="L3" s="3" t="s">
        <v>54</v>
      </c>
      <c r="M3" s="3" t="s">
        <v>706</v>
      </c>
    </row>
    <row r="4" customFormat="false" ht="35.05" hidden="false" customHeight="false" outlineLevel="0" collapsed="false">
      <c r="A4" s="4" t="s">
        <v>253</v>
      </c>
      <c r="B4" s="4" t="s">
        <v>707</v>
      </c>
      <c r="C4" s="4" t="s">
        <v>16</v>
      </c>
      <c r="D4" s="4" t="s">
        <v>598</v>
      </c>
      <c r="E4" s="4" t="s">
        <v>708</v>
      </c>
      <c r="F4" s="4" t="s">
        <v>709</v>
      </c>
      <c r="G4" s="4" t="s">
        <v>710</v>
      </c>
      <c r="H4" s="4" t="s">
        <v>711</v>
      </c>
      <c r="I4" s="4" t="s">
        <v>712</v>
      </c>
      <c r="J4" s="4" t="s">
        <v>713</v>
      </c>
      <c r="K4" s="4" t="s">
        <v>714</v>
      </c>
      <c r="L4" s="8" t="s">
        <v>715</v>
      </c>
      <c r="M4" s="8" t="s">
        <v>716</v>
      </c>
    </row>
    <row r="5" customFormat="false" ht="68.65" hidden="false" customHeight="false" outlineLevel="0" collapsed="false">
      <c r="A5" s="4" t="s">
        <v>220</v>
      </c>
      <c r="B5" s="4" t="s">
        <v>717</v>
      </c>
      <c r="C5" s="4" t="s">
        <v>16</v>
      </c>
      <c r="D5" s="4" t="s">
        <v>598</v>
      </c>
      <c r="E5" s="4" t="s">
        <v>718</v>
      </c>
      <c r="F5" s="4" t="s">
        <v>719</v>
      </c>
      <c r="G5" s="4" t="s">
        <v>720</v>
      </c>
      <c r="H5" s="4" t="s">
        <v>721</v>
      </c>
      <c r="I5" s="4" t="s">
        <v>722</v>
      </c>
      <c r="J5" s="4" t="s">
        <v>723</v>
      </c>
      <c r="K5" s="4" t="s">
        <v>724</v>
      </c>
      <c r="L5" s="8" t="s">
        <v>715</v>
      </c>
      <c r="M5" s="8" t="s">
        <v>716</v>
      </c>
    </row>
    <row r="6" customFormat="false" ht="46.25" hidden="false" customHeight="false" outlineLevel="0" collapsed="false">
      <c r="A6" s="4" t="s">
        <v>234</v>
      </c>
      <c r="B6" s="4" t="s">
        <v>725</v>
      </c>
      <c r="C6" s="4" t="s">
        <v>16</v>
      </c>
      <c r="D6" s="4" t="s">
        <v>598</v>
      </c>
      <c r="E6" s="4" t="s">
        <v>726</v>
      </c>
      <c r="F6" s="4" t="s">
        <v>727</v>
      </c>
      <c r="G6" s="4" t="s">
        <v>728</v>
      </c>
      <c r="H6" s="4" t="s">
        <v>729</v>
      </c>
      <c r="I6" s="4" t="s">
        <v>730</v>
      </c>
      <c r="J6" s="4" t="s">
        <v>233</v>
      </c>
      <c r="K6" s="4" t="s">
        <v>731</v>
      </c>
      <c r="L6" s="8" t="s">
        <v>715</v>
      </c>
      <c r="M6" s="8" t="s">
        <v>716</v>
      </c>
    </row>
    <row r="7" customFormat="false" ht="23.85" hidden="false" customHeight="false" outlineLevel="0" collapsed="false">
      <c r="A7" s="4" t="s">
        <v>732</v>
      </c>
      <c r="B7" s="4" t="s">
        <v>733</v>
      </c>
      <c r="C7" s="4" t="s">
        <v>16</v>
      </c>
      <c r="D7" s="4" t="s">
        <v>598</v>
      </c>
      <c r="E7" s="4" t="s">
        <v>734</v>
      </c>
      <c r="F7" s="4" t="s">
        <v>735</v>
      </c>
      <c r="G7" s="4" t="s">
        <v>736</v>
      </c>
      <c r="H7" s="4" t="s">
        <v>737</v>
      </c>
      <c r="I7" s="4" t="s">
        <v>738</v>
      </c>
      <c r="J7" s="4" t="s">
        <v>739</v>
      </c>
      <c r="K7" s="4" t="s">
        <v>740</v>
      </c>
      <c r="L7" s="8" t="s">
        <v>715</v>
      </c>
      <c r="M7" s="8" t="s">
        <v>716</v>
      </c>
    </row>
    <row r="8" customFormat="false" ht="35.05" hidden="false" customHeight="false" outlineLevel="0" collapsed="false">
      <c r="A8" s="4" t="s">
        <v>741</v>
      </c>
      <c r="B8" s="4" t="s">
        <v>742</v>
      </c>
      <c r="C8" s="4" t="s">
        <v>17</v>
      </c>
      <c r="D8" s="4" t="s">
        <v>599</v>
      </c>
      <c r="E8" s="4" t="s">
        <v>743</v>
      </c>
      <c r="F8" s="4" t="s">
        <v>744</v>
      </c>
      <c r="G8" s="4" t="s">
        <v>745</v>
      </c>
      <c r="H8" s="4" t="s">
        <v>746</v>
      </c>
      <c r="I8" s="4" t="s">
        <v>747</v>
      </c>
      <c r="J8" s="4" t="s">
        <v>748</v>
      </c>
      <c r="K8" s="4" t="s">
        <v>749</v>
      </c>
      <c r="L8" s="8" t="s">
        <v>715</v>
      </c>
      <c r="M8" s="8" t="s">
        <v>716</v>
      </c>
    </row>
    <row r="9" customFormat="false" ht="68.65" hidden="false" customHeight="false" outlineLevel="0" collapsed="false">
      <c r="A9" s="4" t="s">
        <v>750</v>
      </c>
      <c r="B9" s="4" t="s">
        <v>751</v>
      </c>
      <c r="C9" s="4" t="s">
        <v>18</v>
      </c>
      <c r="D9" s="4" t="s">
        <v>606</v>
      </c>
      <c r="E9" s="4" t="s">
        <v>752</v>
      </c>
      <c r="F9" s="4" t="s">
        <v>753</v>
      </c>
      <c r="G9" s="4" t="s">
        <v>754</v>
      </c>
      <c r="H9" s="4" t="s">
        <v>755</v>
      </c>
      <c r="I9" s="4" t="s">
        <v>756</v>
      </c>
      <c r="J9" s="4" t="s">
        <v>757</v>
      </c>
      <c r="K9" s="4" t="s">
        <v>758</v>
      </c>
      <c r="L9" s="8" t="s">
        <v>715</v>
      </c>
      <c r="M9" s="8" t="s">
        <v>716</v>
      </c>
    </row>
    <row r="10" customFormat="false" ht="23.85" hidden="false" customHeight="false" outlineLevel="0" collapsed="false">
      <c r="A10" s="4" t="s">
        <v>103</v>
      </c>
      <c r="B10" s="4" t="s">
        <v>759</v>
      </c>
      <c r="C10" s="4" t="s">
        <v>18</v>
      </c>
      <c r="D10" s="4" t="s">
        <v>606</v>
      </c>
      <c r="E10" s="4" t="s">
        <v>760</v>
      </c>
      <c r="F10" s="4" t="s">
        <v>761</v>
      </c>
      <c r="G10" s="4" t="s">
        <v>762</v>
      </c>
      <c r="H10" s="4" t="s">
        <v>763</v>
      </c>
      <c r="I10" s="4" t="s">
        <v>764</v>
      </c>
      <c r="J10" s="4" t="s">
        <v>765</v>
      </c>
      <c r="K10" s="4" t="s">
        <v>766</v>
      </c>
      <c r="L10" s="8" t="s">
        <v>767</v>
      </c>
      <c r="M10" s="8" t="s">
        <v>716</v>
      </c>
    </row>
    <row r="11" customFormat="false" ht="23.85" hidden="false" customHeight="false" outlineLevel="0" collapsed="false">
      <c r="A11" s="4" t="s">
        <v>116</v>
      </c>
      <c r="B11" s="4" t="s">
        <v>768</v>
      </c>
      <c r="C11" s="4" t="s">
        <v>18</v>
      </c>
      <c r="D11" s="4" t="s">
        <v>606</v>
      </c>
      <c r="E11" s="4" t="s">
        <v>769</v>
      </c>
      <c r="F11" s="4" t="s">
        <v>770</v>
      </c>
      <c r="G11" s="4" t="s">
        <v>771</v>
      </c>
      <c r="H11" s="4" t="s">
        <v>772</v>
      </c>
      <c r="I11" s="4" t="s">
        <v>773</v>
      </c>
      <c r="J11" s="4" t="s">
        <v>774</v>
      </c>
      <c r="K11" s="4" t="s">
        <v>775</v>
      </c>
      <c r="L11" s="8" t="s">
        <v>776</v>
      </c>
      <c r="M11" s="8" t="s">
        <v>716</v>
      </c>
    </row>
    <row r="12" customFormat="false" ht="35.05" hidden="false" customHeight="false" outlineLevel="0" collapsed="false">
      <c r="A12" s="4" t="s">
        <v>197</v>
      </c>
      <c r="B12" s="4" t="s">
        <v>777</v>
      </c>
      <c r="C12" s="4" t="s">
        <v>18</v>
      </c>
      <c r="D12" s="4" t="s">
        <v>606</v>
      </c>
      <c r="E12" s="4" t="s">
        <v>778</v>
      </c>
      <c r="F12" s="4" t="s">
        <v>761</v>
      </c>
      <c r="G12" s="4" t="s">
        <v>779</v>
      </c>
      <c r="H12" s="4" t="s">
        <v>780</v>
      </c>
      <c r="I12" s="4" t="s">
        <v>781</v>
      </c>
      <c r="J12" s="4" t="s">
        <v>782</v>
      </c>
      <c r="K12" s="4" t="s">
        <v>783</v>
      </c>
      <c r="L12" s="8" t="s">
        <v>767</v>
      </c>
      <c r="M12" s="8" t="s">
        <v>716</v>
      </c>
    </row>
    <row r="13" customFormat="false" ht="23.85" hidden="false" customHeight="false" outlineLevel="0" collapsed="false">
      <c r="A13" s="4" t="s">
        <v>213</v>
      </c>
      <c r="B13" s="4" t="s">
        <v>784</v>
      </c>
      <c r="C13" s="4" t="s">
        <v>18</v>
      </c>
      <c r="D13" s="4" t="s">
        <v>606</v>
      </c>
      <c r="E13" s="4" t="s">
        <v>785</v>
      </c>
      <c r="F13" s="4" t="s">
        <v>786</v>
      </c>
      <c r="G13" s="4" t="s">
        <v>787</v>
      </c>
      <c r="H13" s="4" t="s">
        <v>788</v>
      </c>
      <c r="I13" s="4" t="s">
        <v>789</v>
      </c>
      <c r="J13" s="4" t="s">
        <v>212</v>
      </c>
      <c r="K13" s="4" t="s">
        <v>790</v>
      </c>
      <c r="L13" s="8" t="s">
        <v>715</v>
      </c>
      <c r="M13" s="8" t="s">
        <v>716</v>
      </c>
    </row>
    <row r="14" customFormat="false" ht="46.25" hidden="false" customHeight="false" outlineLevel="0" collapsed="false">
      <c r="A14" s="4" t="s">
        <v>791</v>
      </c>
      <c r="B14" s="4" t="s">
        <v>792</v>
      </c>
      <c r="C14" s="4" t="s">
        <v>18</v>
      </c>
      <c r="D14" s="4" t="s">
        <v>606</v>
      </c>
      <c r="E14" s="4" t="s">
        <v>793</v>
      </c>
      <c r="F14" s="4" t="s">
        <v>794</v>
      </c>
      <c r="G14" s="4" t="s">
        <v>795</v>
      </c>
      <c r="H14" s="4" t="s">
        <v>796</v>
      </c>
      <c r="I14" s="4" t="s">
        <v>797</v>
      </c>
      <c r="J14" s="4" t="s">
        <v>798</v>
      </c>
      <c r="K14" s="4" t="s">
        <v>799</v>
      </c>
      <c r="L14" s="8" t="s">
        <v>715</v>
      </c>
      <c r="M14" s="8" t="s">
        <v>716</v>
      </c>
    </row>
    <row r="15" customFormat="false" ht="46.25" hidden="false" customHeight="false" outlineLevel="0" collapsed="false">
      <c r="A15" s="4" t="s">
        <v>800</v>
      </c>
      <c r="B15" s="4" t="s">
        <v>801</v>
      </c>
      <c r="C15" s="4" t="s">
        <v>17</v>
      </c>
      <c r="D15" s="4" t="s">
        <v>599</v>
      </c>
      <c r="E15" s="4" t="s">
        <v>802</v>
      </c>
      <c r="F15" s="4" t="s">
        <v>803</v>
      </c>
      <c r="G15" s="4" t="s">
        <v>804</v>
      </c>
      <c r="H15" s="4" t="s">
        <v>805</v>
      </c>
      <c r="I15" s="4" t="s">
        <v>806</v>
      </c>
      <c r="J15" s="4" t="s">
        <v>807</v>
      </c>
      <c r="K15" s="4" t="s">
        <v>808</v>
      </c>
      <c r="L15" s="8" t="s">
        <v>809</v>
      </c>
      <c r="M15" s="8" t="s">
        <v>810</v>
      </c>
    </row>
    <row r="16" customFormat="false" ht="35.05" hidden="false" customHeight="false" outlineLevel="0" collapsed="false">
      <c r="A16" s="4" t="s">
        <v>811</v>
      </c>
      <c r="B16" s="4" t="s">
        <v>812</v>
      </c>
      <c r="C16" s="4" t="s">
        <v>18</v>
      </c>
      <c r="D16" s="4" t="s">
        <v>606</v>
      </c>
      <c r="E16" s="4" t="s">
        <v>813</v>
      </c>
      <c r="F16" s="4" t="s">
        <v>814</v>
      </c>
      <c r="G16" s="4" t="s">
        <v>815</v>
      </c>
      <c r="H16" s="4" t="s">
        <v>816</v>
      </c>
      <c r="I16" s="4" t="s">
        <v>817</v>
      </c>
      <c r="J16" s="4" t="s">
        <v>818</v>
      </c>
      <c r="K16" s="4" t="s">
        <v>819</v>
      </c>
      <c r="L16" s="8" t="s">
        <v>715</v>
      </c>
      <c r="M16" s="8" t="s">
        <v>716</v>
      </c>
    </row>
    <row r="17" customFormat="false" ht="46.25" hidden="false" customHeight="false" outlineLevel="0" collapsed="false">
      <c r="A17" s="4" t="s">
        <v>242</v>
      </c>
      <c r="B17" s="4" t="s">
        <v>820</v>
      </c>
      <c r="C17" s="4" t="s">
        <v>17</v>
      </c>
      <c r="D17" s="4" t="s">
        <v>599</v>
      </c>
      <c r="E17" s="4" t="s">
        <v>821</v>
      </c>
      <c r="F17" s="4" t="s">
        <v>822</v>
      </c>
      <c r="G17" s="4" t="s">
        <v>823</v>
      </c>
      <c r="H17" s="4" t="s">
        <v>824</v>
      </c>
      <c r="I17" s="4" t="s">
        <v>825</v>
      </c>
      <c r="J17" s="4" t="s">
        <v>826</v>
      </c>
      <c r="K17" s="4" t="s">
        <v>827</v>
      </c>
      <c r="L17" s="8" t="s">
        <v>715</v>
      </c>
      <c r="M17" s="8" t="s">
        <v>716</v>
      </c>
    </row>
    <row r="18" customFormat="false" ht="57.45" hidden="false" customHeight="false" outlineLevel="0" collapsed="false">
      <c r="A18" s="4" t="s">
        <v>828</v>
      </c>
      <c r="B18" s="4" t="s">
        <v>829</v>
      </c>
      <c r="C18" s="4" t="s">
        <v>15</v>
      </c>
      <c r="D18" s="4" t="s">
        <v>598</v>
      </c>
      <c r="E18" s="4" t="s">
        <v>830</v>
      </c>
      <c r="F18" s="4" t="s">
        <v>831</v>
      </c>
      <c r="G18" s="4" t="s">
        <v>832</v>
      </c>
      <c r="H18" s="4" t="s">
        <v>833</v>
      </c>
      <c r="I18" s="4" t="s">
        <v>834</v>
      </c>
      <c r="J18" s="4" t="s">
        <v>835</v>
      </c>
      <c r="K18" s="4" t="s">
        <v>836</v>
      </c>
      <c r="L18" s="8" t="s">
        <v>809</v>
      </c>
      <c r="M18" s="8" t="s">
        <v>810</v>
      </c>
    </row>
    <row r="19" customFormat="false" ht="23.85" hidden="false" customHeight="false" outlineLevel="0" collapsed="false">
      <c r="A19" s="4" t="s">
        <v>837</v>
      </c>
      <c r="B19" s="4" t="s">
        <v>838</v>
      </c>
      <c r="C19" s="4" t="s">
        <v>16</v>
      </c>
      <c r="D19" s="4" t="s">
        <v>598</v>
      </c>
      <c r="E19" s="4" t="s">
        <v>839</v>
      </c>
      <c r="F19" s="4" t="s">
        <v>840</v>
      </c>
      <c r="G19" s="4" t="s">
        <v>841</v>
      </c>
      <c r="H19" s="4" t="s">
        <v>842</v>
      </c>
      <c r="I19" s="4" t="s">
        <v>843</v>
      </c>
      <c r="J19" s="4" t="s">
        <v>844</v>
      </c>
      <c r="K19" s="4" t="s">
        <v>845</v>
      </c>
      <c r="L19" s="8" t="s">
        <v>809</v>
      </c>
      <c r="M19" s="8" t="s">
        <v>810</v>
      </c>
    </row>
    <row r="20" customFormat="false" ht="23.85" hidden="false" customHeight="false" outlineLevel="0" collapsed="false">
      <c r="A20" s="4" t="s">
        <v>846</v>
      </c>
      <c r="B20" s="4" t="s">
        <v>847</v>
      </c>
      <c r="C20" s="4" t="s">
        <v>16</v>
      </c>
      <c r="D20" s="4" t="s">
        <v>598</v>
      </c>
      <c r="E20" s="4" t="s">
        <v>848</v>
      </c>
      <c r="F20" s="4" t="s">
        <v>849</v>
      </c>
      <c r="G20" s="4" t="s">
        <v>850</v>
      </c>
      <c r="H20" s="4" t="s">
        <v>851</v>
      </c>
      <c r="I20" s="4" t="s">
        <v>852</v>
      </c>
      <c r="J20" s="4" t="s">
        <v>853</v>
      </c>
      <c r="K20" s="4" t="s">
        <v>854</v>
      </c>
      <c r="L20" s="8" t="s">
        <v>809</v>
      </c>
      <c r="M20" s="8" t="s">
        <v>810</v>
      </c>
    </row>
    <row r="21" customFormat="false" ht="35.05" hidden="false" customHeight="false" outlineLevel="0" collapsed="false">
      <c r="A21" s="4" t="s">
        <v>855</v>
      </c>
      <c r="B21" s="4" t="s">
        <v>856</v>
      </c>
      <c r="C21" s="4" t="s">
        <v>16</v>
      </c>
      <c r="D21" s="4" t="s">
        <v>598</v>
      </c>
      <c r="E21" s="4" t="s">
        <v>857</v>
      </c>
      <c r="F21" s="4" t="s">
        <v>858</v>
      </c>
      <c r="G21" s="4" t="s">
        <v>859</v>
      </c>
      <c r="H21" s="4" t="s">
        <v>860</v>
      </c>
      <c r="I21" s="4" t="s">
        <v>861</v>
      </c>
      <c r="J21" s="4" t="s">
        <v>862</v>
      </c>
      <c r="K21" s="4" t="s">
        <v>863</v>
      </c>
      <c r="L21" s="8" t="s">
        <v>809</v>
      </c>
      <c r="M21" s="8" t="s">
        <v>810</v>
      </c>
    </row>
    <row r="22" customFormat="false" ht="23.85" hidden="false" customHeight="false" outlineLevel="0" collapsed="false">
      <c r="A22" s="4" t="s">
        <v>864</v>
      </c>
      <c r="B22" s="4" t="s">
        <v>865</v>
      </c>
      <c r="C22" s="4" t="s">
        <v>17</v>
      </c>
      <c r="D22" s="4" t="s">
        <v>599</v>
      </c>
      <c r="E22" s="4" t="s">
        <v>866</v>
      </c>
      <c r="F22" s="4" t="s">
        <v>867</v>
      </c>
      <c r="G22" s="4" t="s">
        <v>868</v>
      </c>
      <c r="H22" s="4" t="s">
        <v>869</v>
      </c>
      <c r="I22" s="4" t="s">
        <v>870</v>
      </c>
      <c r="J22" s="4" t="s">
        <v>871</v>
      </c>
      <c r="K22" s="4" t="s">
        <v>872</v>
      </c>
      <c r="L22" s="8" t="s">
        <v>809</v>
      </c>
      <c r="M22" s="8" t="s">
        <v>810</v>
      </c>
    </row>
    <row r="23" customFormat="false" ht="35.05" hidden="false" customHeight="false" outlineLevel="0" collapsed="false">
      <c r="A23" s="4" t="s">
        <v>873</v>
      </c>
      <c r="B23" s="4" t="s">
        <v>874</v>
      </c>
      <c r="C23" s="4" t="s">
        <v>17</v>
      </c>
      <c r="D23" s="4" t="s">
        <v>599</v>
      </c>
      <c r="E23" s="4" t="s">
        <v>875</v>
      </c>
      <c r="F23" s="4" t="s">
        <v>876</v>
      </c>
      <c r="G23" s="4" t="s">
        <v>877</v>
      </c>
      <c r="H23" s="4" t="s">
        <v>878</v>
      </c>
      <c r="I23" s="4" t="s">
        <v>879</v>
      </c>
      <c r="J23" s="4" t="s">
        <v>880</v>
      </c>
      <c r="K23" s="4" t="s">
        <v>881</v>
      </c>
      <c r="L23" s="8" t="s">
        <v>809</v>
      </c>
      <c r="M23" s="8" t="s">
        <v>810</v>
      </c>
    </row>
    <row r="24" customFormat="false" ht="23.85" hidden="false" customHeight="false" outlineLevel="0" collapsed="false">
      <c r="A24" s="4" t="s">
        <v>882</v>
      </c>
      <c r="B24" s="4" t="s">
        <v>883</v>
      </c>
      <c r="C24" s="4" t="s">
        <v>18</v>
      </c>
      <c r="D24" s="4" t="s">
        <v>606</v>
      </c>
      <c r="E24" s="4" t="s">
        <v>884</v>
      </c>
      <c r="F24" s="4" t="s">
        <v>885</v>
      </c>
      <c r="G24" s="4" t="s">
        <v>886</v>
      </c>
      <c r="H24" s="4" t="s">
        <v>887</v>
      </c>
      <c r="I24" s="4" t="s">
        <v>888</v>
      </c>
      <c r="J24" s="4" t="s">
        <v>889</v>
      </c>
      <c r="K24" s="4" t="s">
        <v>890</v>
      </c>
      <c r="L24" s="8" t="s">
        <v>809</v>
      </c>
      <c r="M24" s="8" t="s">
        <v>810</v>
      </c>
    </row>
    <row r="25" customFormat="false" ht="35.05" hidden="false" customHeight="false" outlineLevel="0" collapsed="false">
      <c r="A25" s="4" t="s">
        <v>891</v>
      </c>
      <c r="B25" s="4" t="s">
        <v>892</v>
      </c>
      <c r="C25" s="4" t="s">
        <v>16</v>
      </c>
      <c r="D25" s="4" t="s">
        <v>598</v>
      </c>
      <c r="E25" s="4" t="s">
        <v>893</v>
      </c>
      <c r="F25" s="4" t="s">
        <v>894</v>
      </c>
      <c r="G25" s="4" t="s">
        <v>895</v>
      </c>
      <c r="H25" s="4" t="s">
        <v>896</v>
      </c>
      <c r="I25" s="4" t="s">
        <v>897</v>
      </c>
      <c r="J25" s="4" t="s">
        <v>898</v>
      </c>
      <c r="K25" s="4" t="s">
        <v>899</v>
      </c>
      <c r="L25" s="8" t="s">
        <v>809</v>
      </c>
      <c r="M25" s="8" t="s">
        <v>810</v>
      </c>
    </row>
    <row r="26" customFormat="false" ht="23.85" hidden="false" customHeight="false" outlineLevel="0" collapsed="false">
      <c r="A26" s="4" t="s">
        <v>900</v>
      </c>
      <c r="B26" s="4" t="s">
        <v>901</v>
      </c>
      <c r="C26" s="4" t="s">
        <v>17</v>
      </c>
      <c r="D26" s="4" t="s">
        <v>599</v>
      </c>
      <c r="E26" s="4" t="s">
        <v>902</v>
      </c>
      <c r="F26" s="4" t="s">
        <v>335</v>
      </c>
      <c r="G26" s="4" t="s">
        <v>903</v>
      </c>
      <c r="H26" s="4" t="s">
        <v>904</v>
      </c>
      <c r="I26" s="4" t="s">
        <v>905</v>
      </c>
      <c r="J26" s="4" t="s">
        <v>906</v>
      </c>
      <c r="K26" s="4" t="s">
        <v>907</v>
      </c>
      <c r="L26" s="8" t="s">
        <v>809</v>
      </c>
      <c r="M26" s="8" t="s">
        <v>810</v>
      </c>
    </row>
    <row r="27" customFormat="false" ht="23.85" hidden="false" customHeight="false" outlineLevel="0" collapsed="false">
      <c r="A27" s="4" t="s">
        <v>908</v>
      </c>
      <c r="B27" s="4" t="s">
        <v>909</v>
      </c>
      <c r="C27" s="4" t="s">
        <v>18</v>
      </c>
      <c r="D27" s="4" t="s">
        <v>606</v>
      </c>
      <c r="E27" s="4" t="s">
        <v>910</v>
      </c>
      <c r="F27" s="4" t="s">
        <v>911</v>
      </c>
      <c r="G27" s="4" t="s">
        <v>912</v>
      </c>
      <c r="H27" s="4" t="s">
        <v>913</v>
      </c>
      <c r="I27" s="4" t="s">
        <v>914</v>
      </c>
      <c r="J27" s="4" t="s">
        <v>906</v>
      </c>
      <c r="K27" s="4" t="s">
        <v>915</v>
      </c>
      <c r="L27" s="8" t="s">
        <v>809</v>
      </c>
      <c r="M27" s="8" t="s">
        <v>810</v>
      </c>
    </row>
    <row r="28" customFormat="false" ht="15" hidden="false" customHeight="false" outlineLevel="0" collapsed="false">
      <c r="A28" s="4" t="s">
        <v>916</v>
      </c>
      <c r="B28" s="4" t="s">
        <v>917</v>
      </c>
      <c r="C28" s="4" t="s">
        <v>18</v>
      </c>
      <c r="D28" s="4" t="s">
        <v>606</v>
      </c>
      <c r="E28" s="4" t="s">
        <v>918</v>
      </c>
      <c r="F28" s="4" t="s">
        <v>919</v>
      </c>
      <c r="G28" s="4" t="s">
        <v>920</v>
      </c>
      <c r="H28" s="4" t="s">
        <v>921</v>
      </c>
      <c r="I28" s="4" t="s">
        <v>922</v>
      </c>
      <c r="J28" s="4" t="s">
        <v>923</v>
      </c>
      <c r="K28" s="4" t="s">
        <v>924</v>
      </c>
      <c r="L28" s="8" t="s">
        <v>809</v>
      </c>
      <c r="M28" s="8" t="s">
        <v>810</v>
      </c>
    </row>
    <row r="29" customFormat="false" ht="35.05" hidden="false" customHeight="false" outlineLevel="0" collapsed="false">
      <c r="A29" s="4" t="s">
        <v>925</v>
      </c>
      <c r="B29" s="4" t="s">
        <v>926</v>
      </c>
      <c r="C29" s="4" t="s">
        <v>18</v>
      </c>
      <c r="D29" s="4" t="s">
        <v>606</v>
      </c>
      <c r="E29" s="4" t="s">
        <v>927</v>
      </c>
      <c r="F29" s="4" t="s">
        <v>928</v>
      </c>
      <c r="G29" s="4" t="s">
        <v>929</v>
      </c>
      <c r="H29" s="4" t="s">
        <v>930</v>
      </c>
      <c r="I29" s="4" t="s">
        <v>931</v>
      </c>
      <c r="J29" s="4" t="s">
        <v>932</v>
      </c>
      <c r="K29" s="4" t="s">
        <v>933</v>
      </c>
      <c r="L29" s="8" t="s">
        <v>767</v>
      </c>
      <c r="M29" s="8" t="s">
        <v>810</v>
      </c>
    </row>
    <row r="30" customFormat="false" ht="35.05" hidden="false" customHeight="false" outlineLevel="0" collapsed="false">
      <c r="A30" s="4" t="s">
        <v>934</v>
      </c>
      <c r="B30" s="4" t="s">
        <v>935</v>
      </c>
      <c r="C30" s="4" t="s">
        <v>18</v>
      </c>
      <c r="D30" s="4" t="s">
        <v>606</v>
      </c>
      <c r="E30" s="4" t="s">
        <v>936</v>
      </c>
      <c r="F30" s="4" t="s">
        <v>937</v>
      </c>
      <c r="G30" s="4" t="s">
        <v>938</v>
      </c>
      <c r="H30" s="4" t="s">
        <v>939</v>
      </c>
      <c r="I30" s="4" t="s">
        <v>940</v>
      </c>
      <c r="J30" s="4" t="s">
        <v>941</v>
      </c>
      <c r="K30" s="4" t="s">
        <v>942</v>
      </c>
      <c r="L30" s="8" t="s">
        <v>809</v>
      </c>
      <c r="M30" s="8" t="s">
        <v>810</v>
      </c>
    </row>
    <row r="31" customFormat="false" ht="23.85" hidden="false" customHeight="false" outlineLevel="0" collapsed="false">
      <c r="A31" s="4" t="s">
        <v>943</v>
      </c>
      <c r="B31" s="4" t="s">
        <v>944</v>
      </c>
      <c r="C31" s="4" t="s">
        <v>18</v>
      </c>
      <c r="D31" s="4" t="s">
        <v>606</v>
      </c>
      <c r="E31" s="4" t="s">
        <v>945</v>
      </c>
      <c r="F31" s="4" t="s">
        <v>946</v>
      </c>
      <c r="G31" s="4" t="s">
        <v>947</v>
      </c>
      <c r="H31" s="4" t="s">
        <v>948</v>
      </c>
      <c r="I31" s="4" t="s">
        <v>949</v>
      </c>
      <c r="J31" s="4" t="s">
        <v>950</v>
      </c>
      <c r="K31" s="4" t="s">
        <v>951</v>
      </c>
      <c r="L31" s="8" t="s">
        <v>767</v>
      </c>
      <c r="M31" s="8" t="s">
        <v>810</v>
      </c>
    </row>
    <row r="32" customFormat="false" ht="46.25" hidden="false" customHeight="false" outlineLevel="0" collapsed="false">
      <c r="A32" s="4" t="s">
        <v>952</v>
      </c>
      <c r="B32" s="4" t="s">
        <v>953</v>
      </c>
      <c r="C32" s="4" t="s">
        <v>18</v>
      </c>
      <c r="D32" s="4" t="s">
        <v>606</v>
      </c>
      <c r="E32" s="4" t="s">
        <v>954</v>
      </c>
      <c r="F32" s="4" t="s">
        <v>955</v>
      </c>
      <c r="G32" s="4" t="s">
        <v>956</v>
      </c>
      <c r="H32" s="4" t="s">
        <v>957</v>
      </c>
      <c r="I32" s="4" t="s">
        <v>958</v>
      </c>
      <c r="J32" s="4" t="s">
        <v>959</v>
      </c>
      <c r="K32" s="4" t="s">
        <v>960</v>
      </c>
      <c r="L32" s="8" t="s">
        <v>809</v>
      </c>
      <c r="M32" s="8" t="s">
        <v>810</v>
      </c>
    </row>
    <row r="33" customFormat="false" ht="57.45" hidden="false" customHeight="false" outlineLevel="0" collapsed="false">
      <c r="A33" s="4" t="s">
        <v>961</v>
      </c>
      <c r="B33" s="4" t="s">
        <v>962</v>
      </c>
      <c r="C33" s="4" t="s">
        <v>16</v>
      </c>
      <c r="D33" s="4" t="s">
        <v>598</v>
      </c>
      <c r="E33" s="4" t="s">
        <v>963</v>
      </c>
      <c r="F33" s="4" t="s">
        <v>964</v>
      </c>
      <c r="G33" s="4" t="s">
        <v>965</v>
      </c>
      <c r="H33" s="4" t="s">
        <v>966</v>
      </c>
      <c r="I33" s="4" t="s">
        <v>967</v>
      </c>
      <c r="J33" s="4" t="s">
        <v>968</v>
      </c>
      <c r="K33" s="4" t="s">
        <v>969</v>
      </c>
      <c r="L33" s="8" t="s">
        <v>809</v>
      </c>
      <c r="M33" s="8" t="s">
        <v>810</v>
      </c>
    </row>
    <row r="34" customFormat="false" ht="46.25" hidden="false" customHeight="false" outlineLevel="0" collapsed="false">
      <c r="A34" s="4" t="s">
        <v>970</v>
      </c>
      <c r="B34" s="4" t="s">
        <v>971</v>
      </c>
      <c r="C34" s="4" t="s">
        <v>17</v>
      </c>
      <c r="D34" s="4" t="s">
        <v>599</v>
      </c>
      <c r="E34" s="4" t="s">
        <v>972</v>
      </c>
      <c r="F34" s="4" t="s">
        <v>973</v>
      </c>
      <c r="G34" s="4" t="s">
        <v>974</v>
      </c>
      <c r="H34" s="4" t="s">
        <v>975</v>
      </c>
      <c r="I34" s="4" t="s">
        <v>976</v>
      </c>
      <c r="J34" s="4" t="s">
        <v>977</v>
      </c>
      <c r="K34" s="4" t="s">
        <v>978</v>
      </c>
      <c r="L34" s="8" t="s">
        <v>809</v>
      </c>
      <c r="M34" s="8" t="s">
        <v>810</v>
      </c>
    </row>
    <row r="35" customFormat="false" ht="46.25" hidden="false" customHeight="false" outlineLevel="0" collapsed="false">
      <c r="A35" s="4" t="s">
        <v>979</v>
      </c>
      <c r="B35" s="4" t="s">
        <v>980</v>
      </c>
      <c r="C35" s="4" t="s">
        <v>18</v>
      </c>
      <c r="D35" s="4" t="s">
        <v>606</v>
      </c>
      <c r="E35" s="4" t="s">
        <v>981</v>
      </c>
      <c r="F35" s="4" t="s">
        <v>982</v>
      </c>
      <c r="G35" s="4" t="s">
        <v>983</v>
      </c>
      <c r="H35" s="4" t="s">
        <v>984</v>
      </c>
      <c r="I35" s="4" t="s">
        <v>985</v>
      </c>
      <c r="J35" s="4" t="s">
        <v>986</v>
      </c>
      <c r="K35" s="4" t="s">
        <v>987</v>
      </c>
      <c r="L35" s="8" t="s">
        <v>809</v>
      </c>
      <c r="M35" s="8" t="s">
        <v>810</v>
      </c>
    </row>
  </sheetData>
  <autoFilter ref="A3:M35"/>
  <dataValidations count="2">
    <dataValidation allowBlank="false" errorStyle="stop" operator="between" showDropDown="false" showErrorMessage="false" showInputMessage="false" sqref="L4:L35" type="list">
      <formula1>"Open,Confirmed,Partly fixed,Fixed,Rejected"</formula1>
      <formula2>0</formula2>
    </dataValidation>
    <dataValidation allowBlank="true" errorStyle="stop" operator="between" showDropDown="false" showErrorMessage="false" showInputMessage="false" sqref="M4:M35" type="list">
      <formula1>"Yes,No,Not yet"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988</v>
      </c>
    </row>
    <row r="3" customFormat="false" ht="15" hidden="false" customHeight="false" outlineLevel="0" collapsed="false">
      <c r="A3" s="3" t="s">
        <v>989</v>
      </c>
      <c r="B3" s="3" t="s">
        <v>990</v>
      </c>
      <c r="C3" s="3" t="s">
        <v>991</v>
      </c>
      <c r="D3" s="3" t="s">
        <v>992</v>
      </c>
    </row>
    <row r="4" customFormat="false" ht="15" hidden="false" customHeight="false" outlineLevel="0" collapsed="false">
      <c r="A4" s="4" t="s">
        <v>993</v>
      </c>
      <c r="B4" s="4" t="s">
        <v>994</v>
      </c>
      <c r="C4" s="4" t="s">
        <v>4</v>
      </c>
      <c r="D4" s="4"/>
    </row>
    <row r="5" customFormat="false" ht="15" hidden="false" customHeight="false" outlineLevel="0" collapsed="false">
      <c r="A5" s="4" t="s">
        <v>995</v>
      </c>
      <c r="B5" s="4" t="s">
        <v>996</v>
      </c>
      <c r="C5" s="4" t="s">
        <v>4</v>
      </c>
      <c r="D5" s="4"/>
    </row>
    <row r="6" customFormat="false" ht="15" hidden="false" customHeight="false" outlineLevel="0" collapsed="false">
      <c r="A6" s="4" t="s">
        <v>997</v>
      </c>
      <c r="B6" s="4" t="s">
        <v>998</v>
      </c>
      <c r="C6" s="4" t="s">
        <v>4</v>
      </c>
      <c r="D6" s="4" t="s">
        <v>999</v>
      </c>
    </row>
    <row r="7" customFormat="false" ht="15" hidden="false" customHeight="false" outlineLevel="0" collapsed="false">
      <c r="A7" s="4" t="s">
        <v>1000</v>
      </c>
      <c r="B7" s="4" t="s">
        <v>1001</v>
      </c>
      <c r="C7" s="4" t="s">
        <v>4</v>
      </c>
      <c r="D7" s="4"/>
    </row>
    <row r="8" customFormat="false" ht="15" hidden="false" customHeight="false" outlineLevel="0" collapsed="false">
      <c r="A8" s="4" t="s">
        <v>1002</v>
      </c>
      <c r="B8" s="4" t="s">
        <v>1003</v>
      </c>
      <c r="C8" s="4" t="s">
        <v>4</v>
      </c>
      <c r="D8" s="4"/>
    </row>
    <row r="9" customFormat="false" ht="15" hidden="false" customHeight="false" outlineLevel="0" collapsed="false">
      <c r="A9" s="4" t="s">
        <v>1004</v>
      </c>
      <c r="B9" s="4" t="s">
        <v>1005</v>
      </c>
      <c r="C9" s="4" t="s">
        <v>4</v>
      </c>
      <c r="D9" s="4"/>
    </row>
    <row r="10" customFormat="false" ht="15" hidden="false" customHeight="false" outlineLevel="0" collapsed="false">
      <c r="A10" s="4" t="s">
        <v>1006</v>
      </c>
      <c r="B10" s="4" t="s">
        <v>1007</v>
      </c>
      <c r="C10" s="4" t="s">
        <v>4</v>
      </c>
      <c r="D10" s="4" t="s">
        <v>1008</v>
      </c>
    </row>
    <row r="11" customFormat="false" ht="15" hidden="false" customHeight="false" outlineLevel="0" collapsed="false">
      <c r="A11" s="4" t="s">
        <v>1009</v>
      </c>
      <c r="B11" s="4" t="s">
        <v>1010</v>
      </c>
      <c r="C11" s="4" t="s">
        <v>4</v>
      </c>
      <c r="D11" s="4" t="s">
        <v>1011</v>
      </c>
    </row>
    <row r="12" customFormat="false" ht="15" hidden="false" customHeight="false" outlineLevel="0" collapsed="false">
      <c r="A12" s="4" t="s">
        <v>1012</v>
      </c>
      <c r="B12" s="4" t="s">
        <v>1013</v>
      </c>
      <c r="C12" s="4" t="s">
        <v>4</v>
      </c>
      <c r="D12" s="4"/>
    </row>
    <row r="13" customFormat="false" ht="15" hidden="false" customHeight="false" outlineLevel="0" collapsed="false">
      <c r="A13" s="4" t="s">
        <v>1014</v>
      </c>
      <c r="B13" s="4" t="s">
        <v>1015</v>
      </c>
      <c r="C13" s="4" t="s">
        <v>4</v>
      </c>
      <c r="D13" s="4"/>
    </row>
    <row r="14" customFormat="false" ht="15" hidden="false" customHeight="false" outlineLevel="0" collapsed="false">
      <c r="A14" s="4" t="s">
        <v>1016</v>
      </c>
      <c r="B14" s="4" t="s">
        <v>1017</v>
      </c>
      <c r="C14" s="4" t="s">
        <v>4</v>
      </c>
      <c r="D14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2026-10-09T07:01:53Z</dcterms:created>
  <dc:creator>openpyxl</dc:creator>
  <dc:description/>
  <dc:language>en-US</dc:language>
  <cp:lastModifiedBy/>
  <dcterms:modified xsi:type="dcterms:W3CDTF">2026-10-09T07:01:54Z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