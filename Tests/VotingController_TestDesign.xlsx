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Cases" sheetId="2" state="visible" r:id="rId4"/>
    <sheet name="BVA" sheetId="3" state="visible" r:id="rId5"/>
    <sheet name="ECT" sheetId="4" state="visible" r:id="rId6"/>
    <sheet name="BasisPath" sheetId="5" state="visible" r:id="rId7"/>
    <sheet name="Defects" sheetId="6" state="visible" r:id="rId8"/>
  </sheets>
  <definedNames>
    <definedName function="false" hidden="true" localSheetId="1" name="_xlnm._FilterDatabase" vbProcedure="false">TestCases!$A$3:$O$33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<sst xmlns="http://schemas.openxmlformats.org/spreadsheetml/2006/main" count="1008" uniqueCount="568">
  <si>
    <t xml:space="preserve">VotingController - STQAL test deliverables</t>
  </si>
  <si>
    <t xml:space="preserve">Test cases</t>
  </si>
  <si>
    <t xml:space="preserve">Technique</t>
  </si>
  <si>
    <t xml:space="preserve">Cases</t>
  </si>
  <si>
    <t xml:space="preserve">Pass</t>
  </si>
  <si>
    <t xml:space="preserve">Fail</t>
  </si>
  <si>
    <t xml:space="preserve">Blocked</t>
  </si>
  <si>
    <t xml:space="preserve">Not run</t>
  </si>
  <si>
    <t xml:space="preserve">Predicted Fail</t>
  </si>
  <si>
    <t xml:space="preserve">BVA</t>
  </si>
  <si>
    <t xml:space="preserve">ECT</t>
  </si>
  <si>
    <t xml:space="preserve">Basis path</t>
  </si>
  <si>
    <t xml:space="preserve">Total</t>
  </si>
  <si>
    <t xml:space="preserve">Defects by severity</t>
  </si>
  <si>
    <t xml:space="preserve">Severity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</si>
  <si>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</si>
  <si>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</si>
  <si>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</si>
  <si>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</si>
  <si>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</si>
  <si>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Basis path coverage</t>
  </si>
  <si>
    <t xml:space="preserve">Functions analysed</t>
  </si>
  <si>
    <t xml:space="preserve">Independent paths (sum of V(G))</t>
  </si>
  <si>
    <t xml:space="preserve">Functions where paths listed = V(G)</t>
  </si>
  <si>
    <t xml:space="preserve">Paths with an automated test</t>
  </si>
  <si>
    <t xml:space="preserve">Paths without a test (feasible)</t>
  </si>
  <si>
    <t xml:space="preserve">Infeasible paths (dead code / correlated decisions)</t>
  </si>
  <si>
    <t xml:space="preserve">How to use</t>
  </si>
  <si>
    <t xml:space="preserve">1. Run the 30 designed cases plus all other automated tests:  dotnet test Tests/AmarTools.Voting.Tests.csproj --filter "FullyQualifiedName!~Selenium"   (Selenium is not part of this deliverable).</t>
  </si>
  <si>
    <t xml:space="preserve">2. Defect-confirming tests only:  --filter "Category=Defect".  Everything else:  --filter "FullyQualifiedName!~Selenium&amp;Category!=Defect".  One technique:  --filter "Technique=BVA"  (or ECT, BasisPath).</t>
  </si>
  <si>
    <t xml:space="preserve">3. BP-07 carries the trait Category=Defect (it is the evidence for DV-01), so it only runs in the defect run.</t>
  </si>
  <si>
    <t xml:space="preserve">4. Fill the yellow cells on TestCases (Actual result, Status, Executed on/by) and the test-run table below. Summary counts update automatically.</t>
  </si>
  <si>
    <t xml:space="preserve">5. 'Predicted result' is from reading the code, not from a run (no .NET SDK was available when this file was made). A predicted Fail that really fails is a confirmed defect: set Defects!L to Confirmed and M to Yes.</t>
  </si>
  <si>
    <t xml:space="preserve">6. Decision-point counts on BasisPath (blue) are the author's reading of VotingController.cs; if the controller changes, update them and the path list.</t>
  </si>
  <si>
    <t xml:space="preserve">7. V(G) of CastVote is 15 here (every if, &amp;&amp; / || operand and catch is counted). The comment at the top of VotingControllerBasisPathTests.cs uses a coarser count of 12.</t>
  </si>
  <si>
    <t xml:space="preserve">Test runs (fill in after running)</t>
  </si>
  <si>
    <t xml:space="preserve">Run</t>
  </si>
  <si>
    <t xml:space="preserve">Passed</t>
  </si>
  <si>
    <t xml:space="preserve">Failed</t>
  </si>
  <si>
    <t xml:space="preserve">Skipped</t>
  </si>
  <si>
    <t xml:space="preserve">Evidence file</t>
  </si>
  <si>
    <t xml:space="preserve">Non-defect (Category!=Defect)</t>
  </si>
  <si>
    <t xml:space="preserve">nondefect-output.txt</t>
  </si>
  <si>
    <t xml:space="preserve">Defect (Category=Defect)</t>
  </si>
  <si>
    <t xml:space="preserve">defect-output.txt</t>
  </si>
  <si>
    <t xml:space="preserve">Combined</t>
  </si>
  <si>
    <t xml:space="preserve">VotingController - test case design and execution (30 cases)</t>
  </si>
  <si>
    <t xml:space="preserve">Yellow cells (Actual result, Status, Executed on, Executed by) are for you to fill in after running the tests. 'Predicted result' comes from reading the code.</t>
  </si>
  <si>
    <t xml:space="preserve">TC ID</t>
  </si>
  <si>
    <t xml:space="preserve">Function / module</t>
  </si>
  <si>
    <t xml:space="preserve">Priority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</si>
  <si>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</si>
  <si>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</si>
  <si>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</si>
  <si>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</si>
  <si>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Predicted result (code reading)</t>
  </si>
  <si>
    <t xml:space="preserve">Automated test</t>
  </si>
  <si>
    <t xml:space="preserve">Defect ID</t>
  </si>
  <si>
    <t xml:space="preserve">Actual result</t>
  </si>
  <si>
    <t xml:space="preserve">Status</t>
  </si>
  <si>
    <t xml:space="preserve">Executed on</t>
  </si>
  <si>
    <t xml:space="preserve">Executed by</t>
  </si>
  <si>
    <t xml:space="preserve">BVA-01</t>
  </si>
  <si>
    <t xml:space="preserve">CastVote: voting window (VotingProgram.IsOpenAt)</t>
  </si>
  <si>
    <t xml:space="preserve">Published program; StartTime 2026-01-01 12:00 UTC, EndTime 13:00 UTC</t>
  </si>
  <si>
    <t xml:space="preserve">now = StartTime - 1 s</t>
  </si>
  <si>
    <t xml:space="preserve">Evaluate IsOpenAt(now)</t>
  </si>
  <si>
    <t xml:space="preserve">Closed (false): voting is not allowed before StartTime</t>
  </si>
  <si>
    <t xml:space="preserve">VotingControllerBvaTests.BVA_01_to_05_IsOpenAt_ExactWindowBoundaries(-1,false)</t>
  </si>
  <si>
    <t xml:space="preserve">BVA-02</t>
  </si>
  <si>
    <t xml:space="preserve">now = StartTime exactly</t>
  </si>
  <si>
    <t xml:space="preserve">Open (true): StartTime is inclusive</t>
  </si>
  <si>
    <t xml:space="preserve">VotingControllerBvaTests.BVA_01_to_05_IsOpenAt_ExactWindowBoundaries(0,true)</t>
  </si>
  <si>
    <t xml:space="preserve">BVA-03</t>
  </si>
  <si>
    <t xml:space="preserve">now = EndTime - 1 s (StartTime + 3599 s)</t>
  </si>
  <si>
    <t xml:space="preserve">Open (true)</t>
  </si>
  <si>
    <t xml:space="preserve">VotingControllerBvaTests.BVA_01_to_05_IsOpenAt_ExactWindowBoundaries(3599,true)</t>
  </si>
  <si>
    <t xml:space="preserve">BVA-04</t>
  </si>
  <si>
    <t xml:space="preserve">now = EndTime exactly (StartTime + 3600 s)</t>
  </si>
  <si>
    <t xml:space="preserve">Closed (false): EndTime is exclusive</t>
  </si>
  <si>
    <t xml:space="preserve">VotingControllerBvaTests.BVA_01_to_05_IsOpenAt_ExactWindowBoundaries(3600,false)</t>
  </si>
  <si>
    <t xml:space="preserve">BVA-05</t>
  </si>
  <si>
    <t xml:space="preserve">now = EndTime + 1 s</t>
  </si>
  <si>
    <t xml:space="preserve">Closed (false)</t>
  </si>
  <si>
    <t xml:space="preserve">VotingControllerBvaTests.BVA_01_to_05_IsOpenAt_ExactWindowBoundaries(3601,false)</t>
  </si>
  <si>
    <t xml:space="preserve">BVA-06</t>
  </si>
  <si>
    <t xml:space="preserve">CastVote (POST)</t>
  </si>
  <si>
    <t xml:space="preserve">Signed in as voter-1, registered, not voted; published program</t>
  </si>
  <si>
    <t xml:space="preserve">StartTime = now + 10 s, EndTime = now + 3600 s; CastVote(1, 10)</t>
  </si>
  <si>
    <t xml:space="preserve">Call CastVote</t>
  </si>
  <si>
    <t xml:space="preserve">Redirect to Vote; TempData Error 'no longer active'; no Vote row</t>
  </si>
  <si>
    <t xml:space="preserve">VotingControllerBvaTests.BVA_06_CastVote_VotingStartsInTenSeconds_IsRejected</t>
  </si>
  <si>
    <t xml:space="preserve">BVA-07</t>
  </si>
  <si>
    <t xml:space="preserve">StartTime = now - 3600 s, EndTime = now + 10 s; CastVote(1, 10)</t>
  </si>
  <si>
    <t xml:space="preserve">Redirect to ThankYou; exactly one Vote row stored</t>
  </si>
  <si>
    <t xml:space="preserve">VotingControllerBvaTests.BVA_07_CastVote_VotingEndsInTenSeconds_IsAccepted</t>
  </si>
  <si>
    <t xml:space="preserve">BVA-08</t>
  </si>
  <si>
    <t xml:space="preserve">StartTime = now - 3600 s, EndTime = now - 1 s; CastVote(1, 10)</t>
  </si>
  <si>
    <t xml:space="preserve">VotingControllerBvaTests.BVA_08_CastVote_VotingEndedOneSecondAgo_IsRejected</t>
  </si>
  <si>
    <t xml:space="preserve">BVA-09</t>
  </si>
  <si>
    <t xml:space="preserve">Open program 1 with candidates 10 (Alice) and 11 (Bob); signed in as registered voter</t>
  </si>
  <si>
    <t xml:space="preserve">candidateId = 9, 10, 11, 12, 0, -1, int.MinValue, int.MaxValue</t>
  </si>
  <si>
    <t xml:space="preserve">Call CastVote(1, candidateId) once per value (fresh database each time)</t>
  </si>
  <si>
    <t xml:space="preserve">10 and 11: ThankYou + one Vote row. All other values: Redirect to Vote, 'Invalid candidate selected.', no Vote row</t>
  </si>
  <si>
    <t xml:space="preserve">VotingControllerBvaTests.BVA_09_CastVote_CandidateIdBoundaries (8 data rows)</t>
  </si>
  <si>
    <t xml:space="preserve">ECT-01</t>
  </si>
  <si>
    <t xml:space="preserve">Signed in but the principal has NO NameIdentifier claim; program 1 exists</t>
  </si>
  <si>
    <t xml:space="preserve">userId claim = missing (EC2)</t>
  </si>
  <si>
    <t xml:space="preserve">Call CastVote(1, 10)</t>
  </si>
  <si>
    <t xml:space="preserve">UnauthorizedResult (401)</t>
  </si>
  <si>
    <t xml:space="preserve">VotingControllerEctTests.ECT_01_CastVote_NoNameIdentifierClaim_IsUnauthorized</t>
  </si>
  <si>
    <t xml:space="preserve">ECT-02</t>
  </si>
  <si>
    <t xml:space="preserve">Program 1 unpublished (window open); voter-1 registered</t>
  </si>
  <si>
    <t xml:space="preserve">IsPublished = false (EC4)</t>
  </si>
  <si>
    <t xml:space="preserve">Redirect to Vote; 'no longer active'; Votes table empty</t>
  </si>
  <si>
    <t xml:space="preserve">VotingControllerEctTests.ECT_02_CastVote_UnpublishedProgram_IsRejected</t>
  </si>
  <si>
    <t xml:space="preserve">ECT-03</t>
  </si>
  <si>
    <t xml:space="preserve">Program 1 published but upcoming; voter-1 registered</t>
  </si>
  <si>
    <t xml:space="preserve">StartTime = now + 2 h, EndTime = now + 3 h (EC5)</t>
  </si>
  <si>
    <t xml:space="preserve">VotingControllerEctTests.ECT_03_CastVote_UpcomingProgram_IsRejected</t>
  </si>
  <si>
    <t xml:space="preserve">ECT-04</t>
  </si>
  <si>
    <t xml:space="preserve">Program 1 published but ended; voter-1 registered</t>
  </si>
  <si>
    <t xml:space="preserve">StartTime = now - 3 h, EndTime = now - 2 h (EC6)</t>
  </si>
  <si>
    <t xml:space="preserve">VotingControllerEctTests.ECT_04_CastVote_EndedProgram_IsRejected</t>
  </si>
  <si>
    <t xml:space="preserve">ECT-05</t>
  </si>
  <si>
    <t xml:space="preserve">Open published program; no Voter row for voter-1</t>
  </si>
  <si>
    <t xml:space="preserve">voter = none (EC8)</t>
  </si>
  <si>
    <t xml:space="preserve">Redirect to Vote; 'not registered'; Votes table empty</t>
  </si>
  <si>
    <t xml:space="preserve">VotingControllerEctTests.ECT_05_CastVote_UserNotRegisteredAsVoter_IsRejected</t>
  </si>
  <si>
    <t xml:space="preserve">ECT-06</t>
  </si>
  <si>
    <t xml:space="preserve">Open published program; voter-1 registered with HasVoted = true</t>
  </si>
  <si>
    <t xml:space="preserve">HasVoted = true (EC9)</t>
  </si>
  <si>
    <t xml:space="preserve">Redirect to Vote; 'already cast'; Votes table empty</t>
  </si>
  <si>
    <t xml:space="preserve">VotingControllerEctTests.ECT_06_CastVote_VoterAlreadyVoted_IsRejected</t>
  </si>
  <si>
    <t xml:space="preserve">ECT-07</t>
  </si>
  <si>
    <t xml:space="preserve">Programs 1 and 2 open; voter-1 registered in program 1 only</t>
  </si>
  <si>
    <t xml:space="preserve">CastVote(1, 20) - candidate 20 belongs to program 2 (EC11)</t>
  </si>
  <si>
    <t xml:space="preserve">Redirect to Vote; 'Invalid candidate'; Votes table empty</t>
  </si>
  <si>
    <t xml:space="preserve">VotingControllerEctTests.ECT_07_CastVote_CandidateOfAnotherProgram_IsRejected</t>
  </si>
  <si>
    <t xml:space="preserve">ECT-08</t>
  </si>
  <si>
    <t xml:space="preserve">Open published program; voter-1 registered, not voted; candidate 10 of program 1</t>
  </si>
  <si>
    <t xml:space="preserve">EC1 + EC3 + EC7 + EC10; CastVote(1, 10)</t>
  </si>
  <si>
    <t xml:space="preserve">Redirect to ThankYou; one Vote (CandidateId 10, VoterId = voter.Id, VoteSource 'web'); Voter.HasVoted = true and VotedAt set</t>
  </si>
  <si>
    <t xml:space="preserve">VotingControllerEctTests.ECT_08_CastVote_AllInputsValid_RecordsVote</t>
  </si>
  <si>
    <t xml:space="preserve">BP-01</t>
  </si>
  <si>
    <t xml:space="preserve">Vote (GET)</t>
  </si>
  <si>
    <t xml:space="preserve">Empty database</t>
  </si>
  <si>
    <t xml:space="preserve">id = 404</t>
  </si>
  <si>
    <t xml:space="preserve">Call Vote(404)</t>
  </si>
  <si>
    <t xml:space="preserve">NotFoundResult (path P1)</t>
  </si>
  <si>
    <t xml:space="preserve">VotingControllerBasisPath_Vote.BP_01_Vote_ProgramMissing_IsNotFound</t>
  </si>
  <si>
    <t xml:space="preserve">BP-02</t>
  </si>
  <si>
    <t xml:space="preserve">Published program that ended 60 s ago</t>
  </si>
  <si>
    <t xml:space="preserve">id = 1</t>
  </si>
  <si>
    <t xml:space="preserve">Call Vote(1)</t>
  </si>
  <si>
    <t xml:space="preserve">ViewResult 'Closed' with the program as model; ViewBag.Message = 'This voting program is not currently active.' (path P2)</t>
  </si>
  <si>
    <t xml:space="preserve">VotingControllerBasisPath_Vote.BP_02_Vote_ProgramEnded_ReturnsClosedView</t>
  </si>
  <si>
    <t xml:space="preserve">BP-03</t>
  </si>
  <si>
    <t xml:space="preserve">Open published program; anonymous visitor</t>
  </si>
  <si>
    <t xml:space="preserve">id = 1; not authenticated</t>
  </si>
  <si>
    <t xml:space="preserve">ViewResult (default view); IsRegisteredVoter = false; RemainingTime &gt; 0 (path P3)</t>
  </si>
  <si>
    <t xml:space="preserve">VotingControllerBasisPath_Vote.BP_03_Vote_OpenProgram_Anonymous_ShowsPageWithoutRegistration</t>
  </si>
  <si>
    <t xml:space="preserve">BP-04</t>
  </si>
  <si>
    <t xml:space="preserve">PublicResults (GET)</t>
  </si>
  <si>
    <t xml:space="preserve">id = 5</t>
  </si>
  <si>
    <t xml:space="preserve">Call PublicResults(5)</t>
  </si>
  <si>
    <t xml:space="preserve">VotingControllerBasisPath_PublicResults.BP_04_PublicResults_ProgramMissing_IsNotFound</t>
  </si>
  <si>
    <t xml:space="preserve">BP-05</t>
  </si>
  <si>
    <t xml:space="preserve">Published program; mocked results Alice 3, Bob 2; blockchain valid</t>
  </si>
  <si>
    <t xml:space="preserve">Call PublicResults(1)</t>
  </si>
  <si>
    <t xml:space="preserve">ViewResult 'PublicResults'; TotalVotes = 5; BlockchainValid = true (path P3)</t>
  </si>
  <si>
    <t xml:space="preserve">VotingControllerBasisPath_PublicResults.BP_05_PublicResults_PublishedProgram_ReturnsViewWithTotals</t>
  </si>
  <si>
    <t xml:space="preserve">BP-06</t>
  </si>
  <si>
    <t xml:space="preserve">Search (GET, JSON)</t>
  </si>
  <si>
    <t xml:space="preserve">Any database</t>
  </si>
  <si>
    <t xml:space="preserve">q = '   ' (whitespace)</t>
  </si>
  <si>
    <t xml:space="preserve">Call Search('   ')</t>
  </si>
  <si>
    <t xml:space="preserve">JsonResult holding an empty array; no database query (path P1)</t>
  </si>
  <si>
    <t xml:space="preserve">VotingControllerBasisPath_Search.BP_06_Search_BlankQuery_ReturnsEmptyArray</t>
  </si>
  <si>
    <t xml:space="preserve">BP-07</t>
  </si>
  <si>
    <t xml:space="preserve">Published program 'Student Council Election'</t>
  </si>
  <si>
    <t xml:space="preserve">q = 'council'</t>
  </si>
  <si>
    <t xml:space="preserve">Call Search('council')</t>
  </si>
  <si>
    <t xml:space="preserve">JsonResult with exactly one matching program (path P2)</t>
  </si>
  <si>
    <t xml:space="preserve">VotingControllerBasisPath_Search.BP_07_Search_ValidQuery_ReturnsMatchingProgram</t>
  </si>
  <si>
    <t xml:space="preserve">DV-01</t>
  </si>
  <si>
    <t xml:space="preserve">BP-08</t>
  </si>
  <si>
    <t xml:space="preserve">Join (POST)</t>
  </si>
  <si>
    <t xml:space="preserve">Published program that ended 60 s ago; signed in as voter-1</t>
  </si>
  <si>
    <t xml:space="preserve">programId = 1</t>
  </si>
  <si>
    <t xml:space="preserve">Call Join(1)</t>
  </si>
  <si>
    <t xml:space="preserve">Redirect to Vote; 'Registration is closed'; no Voter row (path P4)</t>
  </si>
  <si>
    <t xml:space="preserve">VotingControllerBasisPath_Join.BP_08_Join_EndedProgram_RegistrationClosed</t>
  </si>
  <si>
    <t xml:space="preserve">BP-09</t>
  </si>
  <si>
    <t xml:space="preserve">Open published program; user 'Student One' (student@example.com) exists; not yet registered</t>
  </si>
  <si>
    <t xml:space="preserve">Redirect to Vote; one Voter row (Name 'Student One', Email, UserId 'voter-1', source 'self'); Success message set (path P6)</t>
  </si>
  <si>
    <t xml:space="preserve">VotingControllerBasisPath_Join.BP_09_Join_ValidUser_CreatesSelfRegisteredVoter</t>
  </si>
  <si>
    <t xml:space="preserve">BP-10</t>
  </si>
  <si>
    <t xml:space="preserve">Open published program; voter-1 already registered</t>
  </si>
  <si>
    <t xml:space="preserve">Error 'already registered'; still exactly one Voter row (path P5)</t>
  </si>
  <si>
    <t xml:space="preserve">VotingControllerBasisPath_Join.BP_10_Join_AlreadyRegistered_IsRejectedWithoutDuplicate</t>
  </si>
  <si>
    <t xml:space="preserve">BP-11</t>
  </si>
  <si>
    <t xml:space="preserve">Empty database; signed in as voter-1</t>
  </si>
  <si>
    <t xml:space="preserve">CastVote(404, 10)</t>
  </si>
  <si>
    <t xml:space="preserve">NotFoundResult (path P2)</t>
  </si>
  <si>
    <t xml:space="preserve">VotingControllerBasisPath_CastVote.BP_11_CastVote_ProgramMissing_IsNotFound</t>
  </si>
  <si>
    <t xml:space="preserve">BP-12</t>
  </si>
  <si>
    <t xml:space="preserve">Open program; voter-1 registered; queue mock accepts (TryEnqueue = true)</t>
  </si>
  <si>
    <t xml:space="preserve">CastVote(1, 10)</t>
  </si>
  <si>
    <t xml:space="preserve">Redirect to ThankYou; no Warning; Success 'recorded successfully'; ProgramName 'Test Program 1', ProgramId 1; TryEnqueue called once (path P7)</t>
  </si>
  <si>
    <t xml:space="preserve">VotingControllerBasisPath_CastVote.BP_12_CastVote_Success_BlockQueued_NoWarning</t>
  </si>
  <si>
    <t xml:space="preserve">BP-13</t>
  </si>
  <si>
    <t xml:space="preserve">Open program; voter-1 registered; queue mock rejects (TryEnqueue = false)</t>
  </si>
  <si>
    <t xml:space="preserve">Redirect to ThankYou; Warning mentions the blockchain block; the Vote row is kept (path P8)</t>
  </si>
  <si>
    <t xml:space="preserve">VotingControllerBasisPath_CastVote.BP_13_CastVote_Success_QueueFull_ShowsWarning</t>
  </si>
  <si>
    <t xml:space="preserve">Boundary Value Analysis - CastVote (one module)</t>
  </si>
  <si>
    <t xml:space="preserve">Seven-point values (min-1, min, min+1, nominal, max-1, max, max+1) for the two bounded inputs of CastVote: the voting window and candidateId.</t>
  </si>
  <si>
    <t xml:space="preserve">Input</t>
  </si>
  <si>
    <t xml:space="preserve">Function</t>
  </si>
  <si>
    <t xml:space="preserve">Constraint (source)</t>
  </si>
  <si>
    <t xml:space="preserve">Below min</t>
  </si>
  <si>
    <t xml:space="preserve">Min</t>
  </si>
  <si>
    <t xml:space="preserve">Min+1</t>
  </si>
  <si>
    <t xml:space="preserve">Nominal</t>
  </si>
  <si>
    <t xml:space="preserve">Max-1</t>
  </si>
  <si>
    <t xml:space="preserve">Max</t>
  </si>
  <si>
    <t xml:space="preserve">Above max</t>
  </si>
  <si>
    <t xml:space="preserve">Expected behaviour</t>
  </si>
  <si>
    <t xml:space="preserve">Voting window: seconds from StartTime (rule level)</t>
  </si>
  <si>
    <t xml:space="preserve">VotingProgram.IsOpenAt (used by Vote and CastVote)</t>
  </si>
  <si>
    <t xml:space="preserve">0 &lt;= offset &lt; 3600  (StartTime inclusive, EndTime exclusive)</t>
  </si>
  <si>
    <t xml:space="preserve">-1</t>
  </si>
  <si>
    <t xml:space="preserve">0</t>
  </si>
  <si>
    <t xml:space="preserve">1</t>
  </si>
  <si>
    <t xml:space="preserve">1800</t>
  </si>
  <si>
    <t xml:space="preserve">3598</t>
  </si>
  <si>
    <t xml:space="preserve">3599</t>
  </si>
  <si>
    <t xml:space="preserve">3600 (also 3601)</t>
  </si>
  <si>
    <t xml:space="preserve">&lt;0 or &gt;=3600 closed; 0..3599 open</t>
  </si>
  <si>
    <t xml:space="preserve">BVA-01..05</t>
  </si>
  <si>
    <t xml:space="preserve">Seconds until StartTime (controller level)</t>
  </si>
  <si>
    <t xml:space="preserve">CastVote</t>
  </si>
  <si>
    <t xml:space="preserve">Must be &lt;= 0 (voting has started)</t>
  </si>
  <si>
    <t xml:space="preserve">-</t>
  </si>
  <si>
    <t xml:space="preserve">-3600 (open)</t>
  </si>
  <si>
    <t xml:space="preserve">0 (clock cannot be frozen)</t>
  </si>
  <si>
    <t xml:space="preserve">+10</t>
  </si>
  <si>
    <t xml:space="preserve">Starts in 10 s: rejected, 'no longer active'</t>
  </si>
  <si>
    <t xml:space="preserve">Seconds until EndTime (controller level)</t>
  </si>
  <si>
    <t xml:space="preserve">Must be &gt; 0 (voting has not ended)</t>
  </si>
  <si>
    <t xml:space="preserve">+3600</t>
  </si>
  <si>
    <t xml:space="preserve">Ended 1 s ago: rejected. Ends in 10 s: accepted</t>
  </si>
  <si>
    <t xml:space="preserve">BVA-07, BVA-08</t>
  </si>
  <si>
    <t xml:space="preserve">candidateId (program 1 has candidates 10 and 11)</t>
  </si>
  <si>
    <t xml:space="preserve">Must be one of the program's candidate ids {10, 11}</t>
  </si>
  <si>
    <t xml:space="preserve">9</t>
  </si>
  <si>
    <t xml:space="preserve">10</t>
  </si>
  <si>
    <t xml:space="preserve">11</t>
  </si>
  <si>
    <t xml:space="preserve">12  (also 0, -1, int.MinValue, int.MaxValue)</t>
  </si>
  <si>
    <t xml:space="preserve">Only 10 and 11 accepted; all others 'Invalid candidate selected.'</t>
  </si>
  <si>
    <t xml:space="preserve">Also checked outside the 30 cases: Extra_Vote_PageIsClosedWhenVotingEndedOneSecondAgo (the Vote page uses the same boundary).</t>
  </si>
  <si>
    <t xml:space="preserve">Equivalence Class Testing - CastVote</t>
  </si>
  <si>
    <t xml:space="preserve">One representative value per class. EC1-EC11 are the classes of the eight designed cases; the rows below them are classes of the other four actions (covered by BP cases and extra tests).</t>
  </si>
  <si>
    <t xml:space="preserve">Class</t>
  </si>
  <si>
    <t xml:space="preserve">Description</t>
  </si>
  <si>
    <t xml:space="preserve">Valid / invalid</t>
  </si>
  <si>
    <t xml:space="preserve">Representative value</t>
  </si>
  <si>
    <t xml:space="preserve">Expected</t>
  </si>
  <si>
    <t xml:space="preserve">Caller identity</t>
  </si>
  <si>
    <t xml:space="preserve">EC1</t>
  </si>
  <si>
    <t xml:space="preserve">Signed in WITH a NameIdentifier claim</t>
  </si>
  <si>
    <t xml:space="preserve">Valid</t>
  </si>
  <si>
    <t xml:space="preserve">voter-1</t>
  </si>
  <si>
    <t xml:space="preserve">Processing continues</t>
  </si>
  <si>
    <t xml:space="preserve">ECT-02..ECT-08</t>
  </si>
  <si>
    <t xml:space="preserve">EC2</t>
  </si>
  <si>
    <t xml:space="preserve">Signed in WITHOUT a NameIdentifier claim</t>
  </si>
  <si>
    <t xml:space="preserve">Invalid</t>
  </si>
  <si>
    <t xml:space="preserve">claim missing</t>
  </si>
  <si>
    <t xml:space="preserve">401 Unauthorized</t>
  </si>
  <si>
    <t xml:space="preserve">Program state</t>
  </si>
  <si>
    <t xml:space="preserve">EC3</t>
  </si>
  <si>
    <t xml:space="preserve">Published and inside its window</t>
  </si>
  <si>
    <t xml:space="preserve">published, start -1 h, end +1 h</t>
  </si>
  <si>
    <t xml:space="preserve">EC4</t>
  </si>
  <si>
    <t xml:space="preserve">Unpublished</t>
  </si>
  <si>
    <t xml:space="preserve">IsPublished = false</t>
  </si>
  <si>
    <t xml:space="preserve">Rejected, 'no longer active'</t>
  </si>
  <si>
    <t xml:space="preserve">EC5</t>
  </si>
  <si>
    <t xml:space="preserve">Upcoming</t>
  </si>
  <si>
    <t xml:space="preserve">start +2 h, end +3 h</t>
  </si>
  <si>
    <t xml:space="preserve">EC6</t>
  </si>
  <si>
    <t xml:space="preserve">Ended</t>
  </si>
  <si>
    <t xml:space="preserve">start -3 h, end -2 h</t>
  </si>
  <si>
    <t xml:space="preserve">Voter state</t>
  </si>
  <si>
    <t xml:space="preserve">EC7</t>
  </si>
  <si>
    <t xml:space="preserve">Registered, has not voted</t>
  </si>
  <si>
    <t xml:space="preserve">HasVoted = false</t>
  </si>
  <si>
    <t xml:space="preserve">EC8</t>
  </si>
  <si>
    <t xml:space="preserve">Not registered in the program</t>
  </si>
  <si>
    <t xml:space="preserve">no Voter row</t>
  </si>
  <si>
    <t xml:space="preserve">Rejected, 'not registered'</t>
  </si>
  <si>
    <t xml:space="preserve">EC9</t>
  </si>
  <si>
    <t xml:space="preserve">Already voted</t>
  </si>
  <si>
    <t xml:space="preserve">HasVoted = true</t>
  </si>
  <si>
    <t xml:space="preserve">Rejected, 'already cast'</t>
  </si>
  <si>
    <t xml:space="preserve">candidateId</t>
  </si>
  <si>
    <t xml:space="preserve">EC10</t>
  </si>
  <si>
    <t xml:space="preserve">Candidate of this program</t>
  </si>
  <si>
    <t xml:space="preserve">Vote recorded, redirect to ThankYou</t>
  </si>
  <si>
    <t xml:space="preserve">EC11</t>
  </si>
  <si>
    <t xml:space="preserve">Candidate of ANOTHER program</t>
  </si>
  <si>
    <t xml:space="preserve">20 (program 2)</t>
  </si>
  <si>
    <t xml:space="preserve">Rejected, 'Invalid candidate'</t>
  </si>
  <si>
    <t xml:space="preserve">Program id (all actions)</t>
  </si>
  <si>
    <t xml:space="preserve">EC12</t>
  </si>
  <si>
    <t xml:space="preserve">Program exists</t>
  </si>
  <si>
    <t xml:space="preserve">BP-02, BP-03, BP-05, BP-09</t>
  </si>
  <si>
    <t xml:space="preserve">EC13</t>
  </si>
  <si>
    <t xml:space="preserve">Program does not exist</t>
  </si>
  <si>
    <t xml:space="preserve">404</t>
  </si>
  <si>
    <t xml:space="preserve">404 NotFound</t>
  </si>
  <si>
    <t xml:space="preserve">BP-01, BP-04, BP-11</t>
  </si>
  <si>
    <t xml:space="preserve">Search text (Search)</t>
  </si>
  <si>
    <t xml:space="preserve">EC14</t>
  </si>
  <si>
    <t xml:space="preserve">Blank: null, empty or whitespace</t>
  </si>
  <si>
    <t xml:space="preserve">'   '</t>
  </si>
  <si>
    <t xml:space="preserve">Empty JSON array</t>
  </si>
  <si>
    <t xml:space="preserve">BP-06; Extra_Search_BlankQueryClass_ReturnsEmptyArray</t>
  </si>
  <si>
    <t xml:space="preserve">EC15</t>
  </si>
  <si>
    <t xml:space="preserve">Text that matches a published program</t>
  </si>
  <si>
    <t xml:space="preserve">'council'</t>
  </si>
  <si>
    <t xml:space="preserve">JSON list of programs</t>
  </si>
  <si>
    <t xml:space="preserve">BP-07 (predicted Fail, DV-01)</t>
  </si>
  <si>
    <t xml:space="preserve">Registration window (Join)</t>
  </si>
  <si>
    <t xml:space="preserve">EC16</t>
  </si>
  <si>
    <t xml:space="preserve">Unpublished or ended</t>
  </si>
  <si>
    <t xml:space="preserve">ended 60 s ago</t>
  </si>
  <si>
    <t xml:space="preserve">Registration closed, no voter row</t>
  </si>
  <si>
    <t xml:space="preserve">BP-08; Extra_Join_UnpublishedProgram_RegistrationIsClosed</t>
  </si>
  <si>
    <t xml:space="preserve">EC17</t>
  </si>
  <si>
    <t xml:space="preserve">Published, not ended (open or upcoming)</t>
  </si>
  <si>
    <t xml:space="preserve">open; start +2 h</t>
  </si>
  <si>
    <t xml:space="preserve">Voter registered</t>
  </si>
  <si>
    <t xml:space="preserve">BP-09; Extra_Join_UpcomingProgram_AllowsRegistration</t>
  </si>
  <si>
    <t xml:space="preserve">Registration state (Join)</t>
  </si>
  <si>
    <t xml:space="preserve">EC18</t>
  </si>
  <si>
    <t xml:space="preserve">User already registered</t>
  </si>
  <si>
    <t xml:space="preserve">voter-1 has a Voter row</t>
  </si>
  <si>
    <t xml:space="preserve">'already registered', no duplicate</t>
  </si>
  <si>
    <t xml:space="preserve">Visitor (Vote page)</t>
  </si>
  <si>
    <t xml:space="preserve">EC19</t>
  </si>
  <si>
    <t xml:space="preserve">Anonymous visitor</t>
  </si>
  <si>
    <t xml:space="preserve">Valid for viewing</t>
  </si>
  <si>
    <t xml:space="preserve">not authenticated</t>
  </si>
  <si>
    <t xml:space="preserve">Page shown, IsRegisteredVoter = false</t>
  </si>
  <si>
    <t xml:space="preserve">EC20</t>
  </si>
  <si>
    <t xml:space="preserve">Signed in: registered / not registered</t>
  </si>
  <si>
    <t xml:space="preserve">voter-1 with / without Voter row</t>
  </si>
  <si>
    <t xml:space="preserve">IsRegisteredVoter = true / false</t>
  </si>
  <si>
    <t xml:space="preserve">Extra_Vote_RegisteredFlagFollowsVoterRegistration</t>
  </si>
  <si>
    <t xml:space="preserve">Basis path testing - 5 actions of VotingController</t>
  </si>
  <si>
    <t xml:space="preserve">V(G) = decision points + 1. A decision point is each if, each &amp;&amp; / || operand, ternary and catch. 'Paths listed' must equal V(G). Flow graphs and node numbers are in VotingController_BasisPath.xlsx.</t>
  </si>
  <si>
    <t xml:space="preserve">Source lines</t>
  </si>
  <si>
    <t xml:space="preserve">Decision predicates</t>
  </si>
  <si>
    <t xml:space="preserve">Decision points</t>
  </si>
  <si>
    <t xml:space="preserve">V(G)</t>
  </si>
  <si>
    <t xml:space="preserve">Paths listed</t>
  </si>
  <si>
    <t xml:space="preserve">Check</t>
  </si>
  <si>
    <t xml:space="preserve">25-58</t>
  </si>
  <si>
    <t xml:space="preserve">program == null; !program.IsOpenAt(now); program.EndTime &gt; now (ternary); User.Identity?.IsAuthenticated == true</t>
  </si>
  <si>
    <t xml:space="preserve">62-78</t>
  </si>
  <si>
    <t xml:space="preserve">program == null; !program.IsPublished</t>
  </si>
  <si>
    <t xml:space="preserve">84-109</t>
  </si>
  <si>
    <t xml:space="preserve">string.IsNullOrWhiteSpace(q)</t>
  </si>
  <si>
    <t xml:space="preserve">117-166</t>
  </si>
  <si>
    <t xml:space="preserve">string.IsNullOrEmpty(userId); program == null; !program.IsPublished; now &gt;= program.EndTime; exists; catch DbUpdateException</t>
  </si>
  <si>
    <t xml:space="preserve">174-276</t>
  </si>
  <si>
    <t xml:space="preserve">IsNullOrEmpty(userId); program == null; !IsOpenAt; voter == null; voter.HasVoted; candidate == null; catch DbUpdateException; catch Exception; !queued; inner is PostgresException; SqlState == '23505'; empty catch {}; uniqueViolation; message contains 'unique constraint'</t>
  </si>
  <si>
    <t xml:space="preserve">Path</t>
  </si>
  <si>
    <t xml:space="preserve">Condition path</t>
  </si>
  <si>
    <t xml:space="preserve">Expected outcome</t>
  </si>
  <si>
    <t xml:space="preserve">Test case(s)</t>
  </si>
  <si>
    <t xml:space="preserve">Coverage</t>
  </si>
  <si>
    <t xml:space="preserve">Predicted result</t>
  </si>
  <si>
    <t xml:space="preserve">P1</t>
  </si>
  <si>
    <t xml:space="preserve">program not found</t>
  </si>
  <si>
    <t xml:space="preserve">NotFoundResult (404)</t>
  </si>
  <si>
    <t xml:space="preserve">Covered</t>
  </si>
  <si>
    <t xml:space="preserve">P2</t>
  </si>
  <si>
    <t xml:space="preserve">program exists but is not open (draft / upcoming / ended)</t>
  </si>
  <si>
    <t xml:space="preserve">View 'Closed' with the 'not currently active' message</t>
  </si>
  <si>
    <t xml:space="preserve">P3</t>
  </si>
  <si>
    <t xml:space="preserve">open program; anonymous visitor</t>
  </si>
  <si>
    <t xml:space="preserve">View(program); IsRegisteredVoter = false; RemainingTime &gt; 0</t>
  </si>
  <si>
    <t xml:space="preserve">P4</t>
  </si>
  <si>
    <t xml:space="preserve">open program; signed-in user</t>
  </si>
  <si>
    <t xml:space="preserve">View(program); IsRegisteredVoter taken from the Voters table</t>
  </si>
  <si>
    <t xml:space="preserve">P4_Vote_OpenProgram_SignedInRegisteredVoter_IsRegistered</t>
  </si>
  <si>
    <t xml:space="preserve">P5</t>
  </si>
  <si>
    <t xml:space="preserve">open program but EndTime &lt;= now (ternary false branch)</t>
  </si>
  <si>
    <t xml:space="preserve">RemainingTime = null</t>
  </si>
  <si>
    <t xml:space="preserve">Infeasible</t>
  </si>
  <si>
    <t xml:space="preserve">n/a</t>
  </si>
  <si>
    <t xml:space="preserve">NotFoundResult</t>
  </si>
  <si>
    <t xml:space="preserve">program exists but is unpublished (draft)</t>
  </si>
  <si>
    <t xml:space="preserve">NotFoundResult (drafts are hidden)</t>
  </si>
  <si>
    <t xml:space="preserve">P2_PublicResults_UnpublishedProgram_IsNotFound</t>
  </si>
  <si>
    <t xml:space="preserve">published program</t>
  </si>
  <si>
    <t xml:space="preserve">View 'PublicResults'; TotalVotes = sum of counts; BlockchainValid set</t>
  </si>
  <si>
    <t xml:space="preserve">q is null / empty / whitespace</t>
  </si>
  <si>
    <t xml:space="preserve">Json([])  (no database access)</t>
  </si>
  <si>
    <t xml:space="preserve">q has text</t>
  </si>
  <si>
    <t xml:space="preserve">Json(list with the matching published programs, max 8)</t>
  </si>
  <si>
    <t xml:space="preserve">no NameIdentifier claim</t>
  </si>
  <si>
    <t xml:space="preserve">UnauthorizedResult</t>
  </si>
  <si>
    <t xml:space="preserve">P1_Join_NoUserId_IsUnauthorized</t>
  </si>
  <si>
    <t xml:space="preserve">P2_Join_ProgramMissing_IsNotFound</t>
  </si>
  <si>
    <t xml:space="preserve">program is unpublished</t>
  </si>
  <si>
    <t xml:space="preserve">Redirect(Vote) + 'Registration is closed'</t>
  </si>
  <si>
    <t xml:space="preserve">P3_Join_UnpublishedProgram_RegistrationClosed</t>
  </si>
  <si>
    <t xml:space="preserve">published but already ended (now &gt;= EndTime)</t>
  </si>
  <si>
    <t xml:space="preserve">Redirect(Vote) + 'Registration is closed'; no voter row</t>
  </si>
  <si>
    <t xml:space="preserve">user is already registered</t>
  </si>
  <si>
    <t xml:space="preserve">Redirect(Vote) + 'already registered'; no duplicate row</t>
  </si>
  <si>
    <t xml:space="preserve">P6</t>
  </si>
  <si>
    <t xml:space="preserve">valid join; save succeeds</t>
  </si>
  <si>
    <t xml:space="preserve">Voter row (source 'self') created; Redirect(Vote) + success message</t>
  </si>
  <si>
    <t xml:space="preserve">P7</t>
  </si>
  <si>
    <t xml:space="preserve">SaveChangesAsync throws DbUpdateException</t>
  </si>
  <si>
    <t xml:space="preserve">Redirect(Vote) + 'could not be completed'</t>
  </si>
  <si>
    <t xml:space="preserve">P7_Join_DbUpdateException_ShowsFriendlyError</t>
  </si>
  <si>
    <t xml:space="preserve">program not open (draft / upcoming / ended)</t>
  </si>
  <si>
    <t xml:space="preserve">Redirect(Vote) + 'no longer active'; no vote stored</t>
  </si>
  <si>
    <t xml:space="preserve">ECT-02..04</t>
  </si>
  <si>
    <t xml:space="preserve">signed-in user is not a registered voter</t>
  </si>
  <si>
    <t xml:space="preserve">Redirect(Vote) + 'not registered'</t>
  </si>
  <si>
    <t xml:space="preserve">voter.HasVoted = true</t>
  </si>
  <si>
    <t xml:space="preserve">Redirect(Vote) + 'already cast'</t>
  </si>
  <si>
    <t xml:space="preserve">candidateId not a candidate of the program</t>
  </si>
  <si>
    <t xml:space="preserve">Redirect(Vote) + 'Invalid candidate'</t>
  </si>
  <si>
    <t xml:space="preserve">ECT-07, BVA-09</t>
  </si>
  <si>
    <t xml:space="preserve">all checks pass; save + commit succeed; block queued</t>
  </si>
  <si>
    <t xml:space="preserve">Vote + HasVoted saved; Redirect(ThankYou); no Warning</t>
  </si>
  <si>
    <t xml:space="preserve">P8</t>
  </si>
  <si>
    <t xml:space="preserve">success but TryEnqueue returns false (queue full)</t>
  </si>
  <si>
    <t xml:space="preserve">Vote kept; Warning set; Redirect(ThankYou)</t>
  </si>
  <si>
    <t xml:space="preserve">P9</t>
  </si>
  <si>
    <t xml:space="preserve">DbUpdateException, inner is not Npgsql, message contains 'unique constraint'</t>
  </si>
  <si>
    <t xml:space="preserve">P09_CastVote_UniqueViolationMessage_ShowsAlreadyVoted</t>
  </si>
  <si>
    <t xml:space="preserve">P10</t>
  </si>
  <si>
    <t xml:space="preserve">DbUpdateException, inner is not Npgsql, other message</t>
  </si>
  <si>
    <t xml:space="preserve">Redirect(Vote) + 'An error occurred'</t>
  </si>
  <si>
    <t xml:space="preserve">P10_CastVote_GenericDbUpdateException_ShowsGenericError</t>
  </si>
  <si>
    <t xml:space="preserve">P11</t>
  </si>
  <si>
    <t xml:space="preserve">any other exception inside the try</t>
  </si>
  <si>
    <t xml:space="preserve">P11_CastVote_UnexpectedException_ShowsGenericError</t>
  </si>
  <si>
    <t xml:space="preserve">P12</t>
  </si>
  <si>
    <t xml:space="preserve">DbUpdateException with PostgresException SqlState 23505</t>
  </si>
  <si>
    <t xml:space="preserve">P12_CastVote_PostgresUniqueViolation_ShowsAlreadyVoted</t>
  </si>
  <si>
    <t xml:space="preserve">P13</t>
  </si>
  <si>
    <t xml:space="preserve">DbUpdateException with PostgresException SqlState 40001 (serialization failure)</t>
  </si>
  <si>
    <t xml:space="preserve">Redirect(Vote) + 'An error occurred'  (no retry, defect DV-10)</t>
  </si>
  <si>
    <t xml:space="preserve">P13_CastVote_PostgresSerializationFailure_ShowsGenericError</t>
  </si>
  <si>
    <t xml:space="preserve">P14</t>
  </si>
  <si>
    <t xml:space="preserve">the Postgres check throws and the empty catch swallows it</t>
  </si>
  <si>
    <t xml:space="preserve">Falls through to the generic error</t>
  </si>
  <si>
    <t xml:space="preserve">P15</t>
  </si>
  <si>
    <t xml:space="preserve">uniqueViolation was set to true but is later read as false</t>
  </si>
  <si>
    <t xml:space="preserve">Generic error</t>
  </si>
  <si>
    <t xml:space="preserve">Defects found by code reading (to be confirmed by the test run)</t>
  </si>
  <si>
    <t xml:space="preserve">Title</t>
  </si>
  <si>
    <t xml:space="preserve">Location</t>
  </si>
  <si>
    <t xml:space="preserve">Steps to reproduce</t>
  </si>
  <si>
    <t xml:space="preserve">Actual result (from code reading)</t>
  </si>
  <si>
    <t xml:space="preserve">Test / evidence</t>
  </si>
  <si>
    <t xml:space="preserve">Suggested fix</t>
  </si>
  <si>
    <t xml:space="preserve">Confirmed by test run?</t>
  </si>
  <si>
    <t xml:space="preserve">Search always fails for a non-blank query (HTTP 500)</t>
  </si>
  <si>
    <t xml:space="preserve">VotingController.Search, line 95</t>
  </si>
  <si>
    <t xml:space="preserve">Any published program; q = 'a'</t>
  </si>
  <si>
    <t xml:space="preserve">1) GET /Voting/Search?q=a</t>
  </si>
  <si>
    <t xml:space="preserve">JSON list of matching published programs</t>
  </si>
  <si>
    <t xml:space="preserve">OrderByDescending(p =&gt; p.IsActive) sorts by a [NotMapped] computed property; EF Core cannot translate it to SQL and throws InvalidOperationException.</t>
  </si>
  <si>
    <t xml:space="preserve">VotingControllerBasisPath_Search.BP_07_Search_ValidQuery_ReturnsMatchingProgram (BP-07)</t>
  </si>
  <si>
    <t xml:space="preserve">Order by an expression EF can translate, e.g. p.IsPublished &amp;&amp; p.StartTime &lt;= now &amp;&amp; now &lt; p.EndTime, or order by StartTime only.</t>
  </si>
  <si>
    <t xml:space="preserve">Open (predicted)</t>
  </si>
  <si>
    <t xml:space="preserve">DV-02</t>
  </si>
  <si>
    <t xml:space="preserve">Draft program is disclosed through /Voting/Vote/{id}</t>
  </si>
  <si>
    <t xml:space="preserve">VotingController.Vote, lines 27-40</t>
  </si>
  <si>
    <t xml:space="preserve">Program exists, IsPublished = false; anonymous visitor</t>
  </si>
  <si>
    <t xml:space="preserve">1) GET /Voting/Vote/{id} of a draft</t>
  </si>
  <si>
    <t xml:space="preserve">404, the same as PublicResults for drafts</t>
  </si>
  <si>
    <t xml:space="preserve">Vote only checks null; an unpublished program fails IsOpenAt and is rendered in the 'Closed' view with its data.</t>
  </si>
  <si>
    <t xml:space="preserve">VotingControllerDefectTests.DV02_Vote_UnpublishedProgram_ShouldNotBeDisclosed</t>
  </si>
  <si>
    <t xml:space="preserve">Use: if (program == null || !program.IsPublished) return NotFound();</t>
  </si>
  <si>
    <t xml:space="preserve">DV-03</t>
  </si>
  <si>
    <t xml:space="preserve">Voter with an empty FullName is stored with a blank name</t>
  </si>
  <si>
    <t xml:space="preserve">VotingController.Join, line 145</t>
  </si>
  <si>
    <t xml:space="preserve">User with FullName = '' (the default) and a UserName</t>
  </si>
  <si>
    <t xml:space="preserve">1) Join(programId)</t>
  </si>
  <si>
    <t xml:space="preserve">Name falls back to the UserName</t>
  </si>
  <si>
    <t xml:space="preserve">'' is not null, so '??' never reaches UserName; the Voter row gets Name = ''.</t>
  </si>
  <si>
    <t xml:space="preserve">VotingControllerDefectTests.DV03_Join_UserWithEmptyFullName_ShouldFallBackToUserName</t>
  </si>
  <si>
    <t xml:space="preserve">Use string.IsNullOrWhiteSpace(user?.FullName) ? user?.UserName ?? 'Anonymous Voter' : user.FullName.Trim().</t>
  </si>
  <si>
    <t xml:space="preserve">DV-04</t>
  </si>
  <si>
    <t xml:space="preserve">Principal without a user id is shown as a registered voter</t>
  </si>
  <si>
    <t xml:space="preserve">VotingController.Vote, lines 46-50</t>
  </si>
  <si>
    <t xml:space="preserve">Authenticated principal with no NameIdentifier claim; owner-registered voter with UserId = NULL</t>
  </si>
  <si>
    <t xml:space="preserve">1) GET Vote for the program</t>
  </si>
  <si>
    <t xml:space="preserve">IsRegisteredVoter = false</t>
  </si>
  <si>
    <t xml:space="preserve">v.UserId == userId with userId = null becomes 'UserId IS NULL' and matches every owner-registered voter that has no account.</t>
  </si>
  <si>
    <t xml:space="preserve">VotingControllerDefectTests.DV04_Vote_PrincipalWithoutUserId_ShouldNotMatchOwnerRegisteredVoters</t>
  </si>
  <si>
    <t xml:space="preserve">Skip the query (IsRegisteredVoter = false) when userId is null or empty.</t>
  </si>
  <si>
    <t xml:space="preserve">DV-05</t>
  </si>
  <si>
    <t xml:space="preserve">User-Agent is stored without length limit (column is 512)</t>
  </si>
  <si>
    <t xml:space="preserve">VotingController.CastVote, line 224</t>
  </si>
  <si>
    <t xml:space="preserve">Registered voter; User-Agent header of 600 characters</t>
  </si>
  <si>
    <t xml:space="preserve">1) POST CastVote with a long User-Agent</t>
  </si>
  <si>
    <t xml:space="preserve">UserAgent truncated to 512 characters; the vote is accepted</t>
  </si>
  <si>
    <t xml:space="preserve">The raw header is stored; PostgreSQL rejects a value longer than varchar(512), so the voter gets the generic error and cannot vote.</t>
  </si>
  <si>
    <t xml:space="preserve">VotingControllerDefectTests.DV05_CastVote_VeryLongUserAgent_ShouldBeLimitedTo512Characters</t>
  </si>
  <si>
    <t xml:space="preserve">Truncate: ua.Length &gt; 512 ? ua[..512] : ua.</t>
  </si>
  <si>
    <t xml:space="preserve">DV-06</t>
  </si>
  <si>
    <t xml:space="preserve">PublicResults crashes if the blockchain check throws</t>
  </si>
  <si>
    <t xml:space="preserve">VotingController.PublicResults, line 75</t>
  </si>
  <si>
    <t xml:space="preserve">IsChainValidForProgramAsync throws (database unavailable)</t>
  </si>
  <si>
    <t xml:space="preserve">1) GET PublicResults/{id}</t>
  </si>
  <si>
    <t xml:space="preserve">Results are shown with 'chain could not be verified'</t>
  </si>
  <si>
    <t xml:space="preserve">The exception is not handled; the whole page returns HTTP 500.</t>
  </si>
  <si>
    <t xml:space="preserve">VotingControllerDefectTests.DV06_PublicResults_BlockchainCheckThrows_ShouldStillShowResults</t>
  </si>
  <si>
    <t xml:space="preserve">Wrap the call in try/catch and set ViewBag.BlockchainValid = null (unknown).</t>
  </si>
  <si>
    <t xml:space="preserve">DV-07</t>
  </si>
  <si>
    <t xml:space="preserve">A voter who already voted is still offered the ballot</t>
  </si>
  <si>
    <t xml:space="preserve">VotingController.Vote, lines 46-51</t>
  </si>
  <si>
    <t xml:space="preserve">Registered voter with HasVoted = true</t>
  </si>
  <si>
    <t xml:space="preserve">Page tells the voter the vote is recorded; no vote buttons</t>
  </si>
  <si>
    <t xml:space="preserve">The page only receives IsRegisteredVoter; no HasVoted flag exists, so enabled Vote buttons are shown and the server rejects the click later.</t>
  </si>
  <si>
    <t xml:space="preserve">VotingControllerDefectTests.DV07_Vote_VoterWhoAlreadyVoted_ShouldNotBeOfferedTheBallot</t>
  </si>
  <si>
    <t xml:space="preserve">Load the voter row and set ViewBag.HasVoted; hide the buttons in Vote.cshtml.</t>
  </si>
  <si>
    <t xml:space="preserve">DV-08</t>
  </si>
  <si>
    <t xml:space="preserve">Any signed-in user can make themselves an eligible voter</t>
  </si>
  <si>
    <t xml:space="preserve">VotingController.Join, lines 117-166</t>
  </si>
  <si>
    <t xml:space="preserve">Published program; any authenticated account</t>
  </si>
  <si>
    <t xml:space="preserve">1) POST /Voting/Join with a program id</t>
  </si>
  <si>
    <t xml:space="preserve">Only the program owner can register voters (as the page text says), or the text is corrected</t>
  </si>
  <si>
    <t xml:space="preserve">Join registers the caller without owner approval, bypassing the owner's voter list. Needs a product decision: remove Join or change the page text (same finding as D16 of the ProgramOwner report).</t>
  </si>
  <si>
    <t xml:space="preserve">VotingControllerDefectTests.DV08_Join_ArbitrarySignedInUser_ShouldNotBecomeAnEligibleVoter</t>
  </si>
  <si>
    <t xml:space="preserve">Remove Join, or add an owner-controlled 'open registration' setting per program.</t>
  </si>
  <si>
    <t xml:space="preserve">DV-09</t>
  </si>
  <si>
    <t xml:space="preserve">/Voting/ThankYou confirms a vote that was never cast</t>
  </si>
  <si>
    <t xml:space="preserve">VotingController.ThankYou, line 278</t>
  </si>
  <si>
    <t xml:space="preserve">None (anonymous visitor)</t>
  </si>
  <si>
    <t xml:space="preserve">1) GET /Voting/ThankYou directly</t>
  </si>
  <si>
    <t xml:space="preserve">No confirmation without a vote just cast</t>
  </si>
  <si>
    <t xml:space="preserve">ThankYou() returns the view for anybody.</t>
  </si>
  <si>
    <t xml:space="preserve">VotingControllerDefectTests.DV09_ThankYou_WithoutARecentVote_ShouldNotConfirmAVote</t>
  </si>
  <si>
    <t xml:space="preserve">Show the view only when TempData['Success'] is present; otherwise redirect.</t>
  </si>
  <si>
    <t xml:space="preserve">DV-10</t>
  </si>
  <si>
    <t xml:space="preserve">No retry when the SERIALIZABLE transaction fails (SQLSTATE 40001)</t>
  </si>
  <si>
    <t xml:space="preserve">VotingController.CastVote, lines 211-275</t>
  </si>
  <si>
    <t xml:space="preserve">Two concurrent votes under contention</t>
  </si>
  <si>
    <t xml:space="preserve">1) Two requests commit at the same time</t>
  </si>
  <si>
    <t xml:space="preserve">The failed request is retried and the vote succeeds</t>
  </si>
  <si>
    <t xml:space="preserve">40001 is treated as a generic failure; the voter sees 'An error occurred' although a retry would succeed.</t>
  </si>
  <si>
    <t xml:space="preserve">VotingControllerNpgsqlTests.P13_CastVote_PostgresSerializationFailure_ShowsGenericError (documents the current behaviour, so it passes)</t>
  </si>
  <si>
    <t xml:space="preserve">Retry the transaction 2-3 times on SqlState 40001.</t>
  </si>
  <si>
    <t xml:space="preserve">Observation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</si>
</sst>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0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COUNTIF(TestCases!$C$4:$C$33,A5)</f>
        <v>9</v>
      </c>
      <c r="C5" s="4" t="n">
        <f aca="false">COUNTIFS(TestCases!$C$4:$C$33,A5,TestCases!$M$4:$M$33,"Pass")</f>
        <v>0</v>
      </c>
      <c r="D5" s="4" t="n">
        <f aca="false">COUNTIFS(TestCases!$C$4:$C$33,A5,TestCases!$M$4:$M$33,"Fail")</f>
        <v>0</v>
      </c>
      <c r="E5" s="4" t="n">
        <f aca="false">COUNTIFS(TestCases!$C$4:$C$33,A5,TestCases!$M$4:$M$33,"Blocked")</f>
        <v>0</v>
      </c>
      <c r="F5" s="4" t="n">
        <f aca="false">COUNTIFS(TestCases!$C$4:$C$33,A5,TestCases!$M$4:$M$33,"Not run")</f>
        <v>9</v>
      </c>
      <c r="G5" s="4" t="n">
        <f aca="false">COUNTIFS(TestCases!$C$4:$C$33,A5,TestCases!$I$4:$I$33,"Fail")</f>
        <v>0</v>
      </c>
    </row>
    <row r="6" customFormat="false" ht="15" hidden="false" customHeight="false" outlineLevel="0" collapsed="false">
      <c r="A6" s="4" t="s">
        <v>10</v>
      </c>
      <c r="B6" s="4" t="n">
        <f aca="false">COUNTIF(TestCases!$C$4:$C$33,A6)</f>
        <v>8</v>
      </c>
      <c r="C6" s="4" t="n">
        <f aca="false">COUNTIFS(TestCases!$C$4:$C$33,A6,TestCases!$M$4:$M$33,"Pass")</f>
        <v>0</v>
      </c>
      <c r="D6" s="4" t="n">
        <f aca="false">COUNTIFS(TestCases!$C$4:$C$33,A6,TestCases!$M$4:$M$33,"Fail")</f>
        <v>0</v>
      </c>
      <c r="E6" s="4" t="n">
        <f aca="false">COUNTIFS(TestCases!$C$4:$C$33,A6,TestCases!$M$4:$M$33,"Blocked")</f>
        <v>0</v>
      </c>
      <c r="F6" s="4" t="n">
        <f aca="false">COUNTIFS(TestCases!$C$4:$C$33,A6,TestCases!$M$4:$M$33,"Not run")</f>
        <v>8</v>
      </c>
      <c r="G6" s="4" t="n">
        <f aca="false">COUNTIFS(TestCases!$C$4:$C$33,A6,TestCases!$I$4:$I$33,"Fail")</f>
        <v>0</v>
      </c>
    </row>
    <row r="7" customFormat="false" ht="15" hidden="false" customHeight="false" outlineLevel="0" collapsed="false">
      <c r="A7" s="4" t="s">
        <v>11</v>
      </c>
      <c r="B7" s="4" t="n">
        <f aca="false">COUNTIF(TestCases!$C$4:$C$33,A7)</f>
        <v>13</v>
      </c>
      <c r="C7" s="4" t="n">
        <f aca="false">COUNTIFS(TestCases!$C$4:$C$33,A7,TestCases!$M$4:$M$33,"Pass")</f>
        <v>0</v>
      </c>
      <c r="D7" s="4" t="n">
        <f aca="false">COUNTIFS(TestCases!$C$4:$C$33,A7,TestCases!$M$4:$M$33,"Fail")</f>
        <v>0</v>
      </c>
      <c r="E7" s="4" t="n">
        <f aca="false">COUNTIFS(TestCases!$C$4:$C$33,A7,TestCases!$M$4:$M$33,"Blocked")</f>
        <v>0</v>
      </c>
      <c r="F7" s="4" t="n">
        <f aca="false">COUNTIFS(TestCases!$C$4:$C$33,A7,TestCases!$M$4:$M$33,"Not run")</f>
        <v>13</v>
      </c>
      <c r="G7" s="4" t="n">
        <f aca="false">COUNTIFS(TestCases!$C$4:$C$33,A7,TestCases!$I$4:$I$33,"Fail")</f>
        <v>1</v>
      </c>
    </row>
    <row r="8" customFormat="false" ht="15" hidden="false" customHeight="false" outlineLevel="0" collapsed="false">
      <c r="A8" s="2" t="s">
        <v>12</v>
      </c>
      <c r="B8" s="2" t="n">
        <f aca="false">SUM(B5:B7)</f>
        <v>30</v>
      </c>
      <c r="C8" s="2" t="n">
        <f aca="false">SUM(C5:C7)</f>
        <v>0</v>
      </c>
      <c r="D8" s="2" t="n">
        <f aca="false">SUM(D5:D7)</f>
        <v>0</v>
      </c>
      <c r="E8" s="2" t="n">
        <f aca="false">SUM(E5:E7)</f>
        <v>0</v>
      </c>
      <c r="F8" s="2" t="n">
        <f aca="false">SUM(F5:F7)</f>
        <v>30</v>
      </c>
      <c r="G8" s="2" t="n">
        <f aca="false">SUM(G5:G7)</f>
        <v>1</v>
      </c>
    </row>
    <row r="10" customFormat="false" ht="15" hidden="false" customHeight="false" outlineLevel="0" collapsed="false">
      <c r="A10" s="2" t="s">
        <v>13</v>
      </c>
    </row>
    <row r="11" customFormat="false" ht="15" hidden="false" customHeight="false" outlineLevel="0" collapsed="false">
      <c r="A11" s="3" t="s">
        <v>14</v>
      </c>
      <c r="B11" s="3" t="s">
        <v>15</v>
      </c>
    </row>
    <row r="12" customFormat="false" ht="15" hidden="false" customHeight="false" outlineLevel="0" collapsed="false">
      <c r="A12" s="4" t="s">
        <v>16</v>
      </c>
      <c r="B12" s="4" t="n">
        <f aca="false">COUNTIF(Defects!$C$4:$C$13,A12)</f>
        <v>0</v>
      </c>
    </row>
    <row r="13" customFormat="false" ht="15" hidden="false" customHeight="false" outlineLevel="0" collapsed="false">
      <c r="A13" s="4" t="s">
        <v>17</v>
      </c>
      <c r="B13" s="4" t="n">
        <f aca="false">COUNTIF(Defects!$C$4:$C$13,A13)</f>
        <v>2</v>
      </c>
    </row>
    <row r="14" customFormat="false" ht="15" hidden="false" customHeight="false" outlineLevel="0" collapsed="false">
      <c r="A14" s="4" t="s">
        <v>18</v>
      </c>
      <c r="B14" s="4" t="n">
        <f aca="false">COUNTIF(Defects!$C$4:$C$13,A14)</f>
        <v>3</v>
      </c>
    </row>
    <row r="15" customFormat="false" ht="15" hidden="false" customHeight="false" outlineLevel="0" collapsed="false">
      <c r="A15" s="4" t="s">
        <v>19</v>
      </c>
      <c r="B15" s="4" t="n">
        <f aca="false">COUNTIF(Defects!$C$4:$C$13,A15)</f>
        <v>5</v>
      </c>
    </row>
    <row r="16" customFormat="false" ht="15" hidden="false" customHeight="false" outlineLevel="0" collapsed="false">
      <c r="A16" s="2" t="s">
        <v>12</v>
      </c>
      <c r="B16" s="2" t="n">
        <f aca="false">SUM(B12:B15)</f>
        <v>10</v>
      </c>
    </row>
    <row r="18" customFormat="false" ht="15" hidden="false" customHeight="false" outlineLevel="0" collapsed="false">
      <c r="A18" s="2" t="s">
        <v>20</v>
      </c>
    </row>
    <row r="19" customFormat="false" ht="15" hidden="false" customHeight="false" outlineLevel="0" collapsed="false">
      <c r="A19" s="4" t="s">
        <v>21</v>
      </c>
      <c r="B19" s="4" t="n">
        <f aca="false">COUNTA(BasisPath!A5:A9)</f>
        <v>5</v>
      </c>
    </row>
    <row r="20" customFormat="false" ht="15" hidden="false" customHeight="false" outlineLevel="0" collapsed="false">
      <c r="A20" s="4" t="s">
        <v>22</v>
      </c>
      <c r="B20" s="4" t="n">
        <f aca="false">BasisPath!E10</f>
        <v>32</v>
      </c>
    </row>
    <row r="21" customFormat="false" ht="15" hidden="false" customHeight="false" outlineLevel="0" collapsed="false">
      <c r="A21" s="4" t="s">
        <v>23</v>
      </c>
      <c r="B21" s="4" t="n">
        <f aca="false">COUNTIF(BasisPath!G5:G9,"OK")</f>
        <v>5</v>
      </c>
    </row>
    <row r="22" customFormat="false" ht="15" hidden="false" customHeight="false" outlineLevel="0" collapsed="false">
      <c r="A22" s="4" t="s">
        <v>24</v>
      </c>
      <c r="B22" s="4" t="n">
        <f aca="false">COUNTIF(BasisPath!F13:F44,"Covered")</f>
        <v>29</v>
      </c>
    </row>
    <row r="23" customFormat="false" ht="15" hidden="false" customHeight="false" outlineLevel="0" collapsed="false">
      <c r="A23" s="4" t="s">
        <v>25</v>
      </c>
      <c r="B23" s="4" t="n">
        <f aca="false">COUNTIF(BasisPath!F13:F44,"No test")</f>
        <v>0</v>
      </c>
    </row>
    <row r="24" customFormat="false" ht="15" hidden="false" customHeight="false" outlineLevel="0" collapsed="false">
      <c r="A24" s="4" t="s">
        <v>26</v>
      </c>
      <c r="B24" s="4" t="n">
        <f aca="false">COUNTIF(BasisPath!F13:F44,"Infeasible")</f>
        <v>3</v>
      </c>
    </row>
    <row r="26" customFormat="false" ht="15" hidden="false" customHeight="false" outlineLevel="0" collapsed="false">
      <c r="A26" s="2" t="s">
        <v>27</v>
      </c>
    </row>
    <row r="27" customFormat="false" ht="30" hidden="false" customHeight="true" outlineLevel="0" collapsed="false">
      <c r="A27" s="5" t="s">
        <v>28</v>
      </c>
      <c r="B27" s="5"/>
      <c r="C27" s="5"/>
      <c r="D27" s="5"/>
      <c r="E27" s="5"/>
      <c r="F27" s="5"/>
      <c r="G27" s="5"/>
      <c r="H27" s="5"/>
    </row>
    <row r="28" customFormat="false" ht="30" hidden="false" customHeight="true" outlineLevel="0" collapsed="false">
      <c r="A28" s="5" t="s">
        <v>29</v>
      </c>
      <c r="B28" s="5"/>
      <c r="C28" s="5"/>
      <c r="D28" s="5"/>
      <c r="E28" s="5"/>
      <c r="F28" s="5"/>
      <c r="G28" s="5"/>
      <c r="H28" s="5"/>
    </row>
    <row r="29" customFormat="false" ht="30" hidden="false" customHeight="true" outlineLevel="0" collapsed="false">
      <c r="A29" s="5" t="s">
        <v>30</v>
      </c>
      <c r="B29" s="5"/>
      <c r="C29" s="5"/>
      <c r="D29" s="5"/>
      <c r="E29" s="5"/>
      <c r="F29" s="5"/>
      <c r="G29" s="5"/>
      <c r="H29" s="5"/>
    </row>
    <row r="30" customFormat="false" ht="30" hidden="false" customHeight="true" outlineLevel="0" collapsed="false">
      <c r="A30" s="5" t="s">
        <v>31</v>
      </c>
      <c r="B30" s="5"/>
      <c r="C30" s="5"/>
      <c r="D30" s="5"/>
      <c r="E30" s="5"/>
      <c r="F30" s="5"/>
      <c r="G30" s="5"/>
      <c r="H30" s="5"/>
    </row>
    <row r="31" customFormat="false" ht="30" hidden="false" customHeight="true" outlineLevel="0" collapsed="false">
      <c r="A31" s="5" t="s">
        <v>32</v>
      </c>
      <c r="B31" s="5"/>
      <c r="C31" s="5"/>
      <c r="D31" s="5"/>
      <c r="E31" s="5"/>
      <c r="F31" s="5"/>
      <c r="G31" s="5"/>
      <c r="H31" s="5"/>
    </row>
    <row r="32" customFormat="false" ht="30" hidden="false" customHeight="true" outlineLevel="0" collapsed="false">
      <c r="A32" s="5" t="s">
        <v>33</v>
      </c>
      <c r="B32" s="5"/>
      <c r="C32" s="5"/>
      <c r="D32" s="5"/>
      <c r="E32" s="5"/>
      <c r="F32" s="5"/>
      <c r="G32" s="5"/>
      <c r="H32" s="5"/>
    </row>
    <row r="33" customFormat="false" ht="30" hidden="false" customHeight="true" outlineLevel="0" collapsed="false">
      <c r="A33" s="5" t="s">
        <v>34</v>
      </c>
      <c r="B33" s="5"/>
      <c r="C33" s="5"/>
      <c r="D33" s="5"/>
      <c r="E33" s="5"/>
      <c r="F33" s="5"/>
      <c r="G33" s="5"/>
      <c r="H33" s="5"/>
    </row>
    <row r="35" customFormat="false" ht="15" hidden="false" customHeight="false" outlineLevel="0" collapsed="false">
      <c r="A35" s="2" t="s">
        <v>35</v>
      </c>
    </row>
    <row r="36" customFormat="false" ht="15" hidden="false" customHeight="false" outlineLevel="0" collapsed="false">
      <c r="A36" s="3" t="s">
        <v>36</v>
      </c>
      <c r="B36" s="3" t="s">
        <v>12</v>
      </c>
      <c r="C36" s="3" t="s">
        <v>37</v>
      </c>
      <c r="D36" s="3" t="s">
        <v>38</v>
      </c>
      <c r="E36" s="3" t="s">
        <v>39</v>
      </c>
      <c r="F36" s="3" t="s">
        <v>40</v>
      </c>
    </row>
    <row r="37" customFormat="false" ht="15" hidden="false" customHeight="false" outlineLevel="0" collapsed="false">
      <c r="A37" s="4" t="s">
        <v>41</v>
      </c>
      <c r="B37" s="6"/>
      <c r="C37" s="6"/>
      <c r="D37" s="6"/>
      <c r="E37" s="6"/>
      <c r="F37" s="4" t="s">
        <v>42</v>
      </c>
    </row>
    <row r="38" customFormat="false" ht="15" hidden="false" customHeight="false" outlineLevel="0" collapsed="false">
      <c r="A38" s="4" t="s">
        <v>43</v>
      </c>
      <c r="B38" s="6"/>
      <c r="C38" s="6"/>
      <c r="D38" s="6"/>
      <c r="E38" s="6"/>
      <c r="F38" s="4" t="s">
        <v>44</v>
      </c>
    </row>
    <row r="39" customFormat="false" ht="15" hidden="false" customHeight="false" outlineLevel="0" collapsed="false">
      <c r="A39" s="2" t="s">
        <v>45</v>
      </c>
      <c r="B39" s="2" t="n">
        <f aca="false">B37+B38</f>
        <v>0</v>
      </c>
      <c r="C39" s="2" t="n">
        <f aca="false">C37+C38</f>
        <v>0</v>
      </c>
      <c r="D39" s="2" t="n">
        <f aca="false">D37+D38</f>
        <v>0</v>
      </c>
      <c r="E39" s="2" t="n">
        <f aca="false">E37+E38</f>
        <v>0</v>
      </c>
    </row>
  </sheetData>
  <mergeCells count="7">
    <mergeCell ref="A27:H27"/>
    <mergeCell ref="A28:H28"/>
    <mergeCell ref="A29:H29"/>
    <mergeCell ref="A30:H30"/>
    <mergeCell ref="A31:H31"/>
    <mergeCell ref="A32:H3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3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4" t="s">
        <v>47</v>
      </c>
    </row>
    <row r="3" customFormat="false" ht="35.05" hidden="false" customHeight="false" outlineLevel="0" collapsed="false">
      <c r="A3" s="3" t="s">
        <v>48</v>
      </c>
      <c r="B3" s="3" t="s">
        <v>49</v>
      </c>
      <c r="C3" s="3" t="s">
        <v>2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</row>
    <row r="4" customFormat="false" ht="35.05" hidden="false" customHeight="false" outlineLevel="0" collapsed="false">
      <c r="A4" s="7" t="s">
        <v>62</v>
      </c>
      <c r="B4" s="7" t="s">
        <v>63</v>
      </c>
      <c r="C4" s="7" t="s">
        <v>9</v>
      </c>
      <c r="D4" s="7" t="s">
        <v>17</v>
      </c>
      <c r="E4" s="7" t="s">
        <v>64</v>
      </c>
      <c r="F4" s="7" t="s">
        <v>65</v>
      </c>
      <c r="G4" s="7" t="s">
        <v>66</v>
      </c>
      <c r="H4" s="7" t="s">
        <v>67</v>
      </c>
      <c r="I4" s="7" t="s">
        <v>4</v>
      </c>
      <c r="J4" s="7" t="s">
        <v>68</v>
      </c>
      <c r="K4" s="7"/>
      <c r="L4" s="6"/>
      <c r="M4" s="6" t="s">
        <v>7</v>
      </c>
      <c r="N4" s="6"/>
      <c r="O4" s="6"/>
    </row>
    <row r="5" customFormat="false" ht="35.05" hidden="false" customHeight="false" outlineLevel="0" collapsed="false">
      <c r="A5" s="7" t="s">
        <v>69</v>
      </c>
      <c r="B5" s="7" t="s">
        <v>63</v>
      </c>
      <c r="C5" s="7" t="s">
        <v>9</v>
      </c>
      <c r="D5" s="7" t="s">
        <v>17</v>
      </c>
      <c r="E5" s="7" t="s">
        <v>64</v>
      </c>
      <c r="F5" s="7" t="s">
        <v>70</v>
      </c>
      <c r="G5" s="7" t="s">
        <v>66</v>
      </c>
      <c r="H5" s="7" t="s">
        <v>71</v>
      </c>
      <c r="I5" s="7" t="s">
        <v>4</v>
      </c>
      <c r="J5" s="7" t="s">
        <v>72</v>
      </c>
      <c r="K5" s="7"/>
      <c r="L5" s="6"/>
      <c r="M5" s="6" t="s">
        <v>7</v>
      </c>
      <c r="N5" s="6"/>
      <c r="O5" s="6"/>
    </row>
    <row r="6" customFormat="false" ht="35.05" hidden="false" customHeight="false" outlineLevel="0" collapsed="false">
      <c r="A6" s="7" t="s">
        <v>73</v>
      </c>
      <c r="B6" s="7" t="s">
        <v>63</v>
      </c>
      <c r="C6" s="7" t="s">
        <v>9</v>
      </c>
      <c r="D6" s="7" t="s">
        <v>18</v>
      </c>
      <c r="E6" s="7" t="s">
        <v>64</v>
      </c>
      <c r="F6" s="7" t="s">
        <v>74</v>
      </c>
      <c r="G6" s="7" t="s">
        <v>66</v>
      </c>
      <c r="H6" s="7" t="s">
        <v>75</v>
      </c>
      <c r="I6" s="7" t="s">
        <v>4</v>
      </c>
      <c r="J6" s="7" t="s">
        <v>76</v>
      </c>
      <c r="K6" s="7"/>
      <c r="L6" s="6"/>
      <c r="M6" s="6" t="s">
        <v>7</v>
      </c>
      <c r="N6" s="6"/>
      <c r="O6" s="6"/>
    </row>
    <row r="7" customFormat="false" ht="35.05" hidden="false" customHeight="false" outlineLevel="0" collapsed="false">
      <c r="A7" s="7" t="s">
        <v>77</v>
      </c>
      <c r="B7" s="7" t="s">
        <v>63</v>
      </c>
      <c r="C7" s="7" t="s">
        <v>9</v>
      </c>
      <c r="D7" s="7" t="s">
        <v>17</v>
      </c>
      <c r="E7" s="7" t="s">
        <v>64</v>
      </c>
      <c r="F7" s="7" t="s">
        <v>78</v>
      </c>
      <c r="G7" s="7" t="s">
        <v>66</v>
      </c>
      <c r="H7" s="7" t="s">
        <v>79</v>
      </c>
      <c r="I7" s="7" t="s">
        <v>4</v>
      </c>
      <c r="J7" s="7" t="s">
        <v>80</v>
      </c>
      <c r="K7" s="7"/>
      <c r="L7" s="6"/>
      <c r="M7" s="6" t="s">
        <v>7</v>
      </c>
      <c r="N7" s="6"/>
      <c r="O7" s="6"/>
    </row>
    <row r="8" customFormat="false" ht="35.05" hidden="false" customHeight="false" outlineLevel="0" collapsed="false">
      <c r="A8" s="7" t="s">
        <v>81</v>
      </c>
      <c r="B8" s="7" t="s">
        <v>63</v>
      </c>
      <c r="C8" s="7" t="s">
        <v>9</v>
      </c>
      <c r="D8" s="7" t="s">
        <v>18</v>
      </c>
      <c r="E8" s="7" t="s">
        <v>64</v>
      </c>
      <c r="F8" s="7" t="s">
        <v>82</v>
      </c>
      <c r="G8" s="7" t="s">
        <v>66</v>
      </c>
      <c r="H8" s="7" t="s">
        <v>83</v>
      </c>
      <c r="I8" s="7" t="s">
        <v>4</v>
      </c>
      <c r="J8" s="7" t="s">
        <v>84</v>
      </c>
      <c r="K8" s="7"/>
      <c r="L8" s="6"/>
      <c r="M8" s="6" t="s">
        <v>7</v>
      </c>
      <c r="N8" s="6"/>
      <c r="O8" s="6"/>
    </row>
    <row r="9" customFormat="false" ht="23.85" hidden="false" customHeight="false" outlineLevel="0" collapsed="false">
      <c r="A9" s="7" t="s">
        <v>85</v>
      </c>
      <c r="B9" s="7" t="s">
        <v>86</v>
      </c>
      <c r="C9" s="7" t="s">
        <v>9</v>
      </c>
      <c r="D9" s="7" t="s">
        <v>17</v>
      </c>
      <c r="E9" s="7" t="s">
        <v>87</v>
      </c>
      <c r="F9" s="7" t="s">
        <v>88</v>
      </c>
      <c r="G9" s="7" t="s">
        <v>89</v>
      </c>
      <c r="H9" s="7" t="s">
        <v>90</v>
      </c>
      <c r="I9" s="7" t="s">
        <v>4</v>
      </c>
      <c r="J9" s="7" t="s">
        <v>91</v>
      </c>
      <c r="K9" s="7"/>
      <c r="L9" s="6"/>
      <c r="M9" s="6" t="s">
        <v>7</v>
      </c>
      <c r="N9" s="6"/>
      <c r="O9" s="6"/>
    </row>
    <row r="10" customFormat="false" ht="23.85" hidden="false" customHeight="false" outlineLevel="0" collapsed="false">
      <c r="A10" s="7" t="s">
        <v>92</v>
      </c>
      <c r="B10" s="7" t="s">
        <v>86</v>
      </c>
      <c r="C10" s="7" t="s">
        <v>9</v>
      </c>
      <c r="D10" s="7" t="s">
        <v>17</v>
      </c>
      <c r="E10" s="7" t="s">
        <v>87</v>
      </c>
      <c r="F10" s="7" t="s">
        <v>93</v>
      </c>
      <c r="G10" s="7" t="s">
        <v>89</v>
      </c>
      <c r="H10" s="7" t="s">
        <v>94</v>
      </c>
      <c r="I10" s="7" t="s">
        <v>4</v>
      </c>
      <c r="J10" s="7" t="s">
        <v>95</v>
      </c>
      <c r="K10" s="7"/>
      <c r="L10" s="6"/>
      <c r="M10" s="6" t="s">
        <v>7</v>
      </c>
      <c r="N10" s="6"/>
      <c r="O10" s="6"/>
    </row>
    <row r="11" customFormat="false" ht="23.85" hidden="false" customHeight="false" outlineLevel="0" collapsed="false">
      <c r="A11" s="7" t="s">
        <v>96</v>
      </c>
      <c r="B11" s="7" t="s">
        <v>86</v>
      </c>
      <c r="C11" s="7" t="s">
        <v>9</v>
      </c>
      <c r="D11" s="7" t="s">
        <v>17</v>
      </c>
      <c r="E11" s="7" t="s">
        <v>87</v>
      </c>
      <c r="F11" s="7" t="s">
        <v>97</v>
      </c>
      <c r="G11" s="7" t="s">
        <v>89</v>
      </c>
      <c r="H11" s="7" t="s">
        <v>90</v>
      </c>
      <c r="I11" s="7" t="s">
        <v>4</v>
      </c>
      <c r="J11" s="7" t="s">
        <v>98</v>
      </c>
      <c r="K11" s="7"/>
      <c r="L11" s="6"/>
      <c r="M11" s="6" t="s">
        <v>7</v>
      </c>
      <c r="N11" s="6"/>
      <c r="O11" s="6"/>
    </row>
    <row r="12" customFormat="false" ht="35.05" hidden="false" customHeight="false" outlineLevel="0" collapsed="false">
      <c r="A12" s="7" t="s">
        <v>99</v>
      </c>
      <c r="B12" s="7" t="s">
        <v>86</v>
      </c>
      <c r="C12" s="7" t="s">
        <v>9</v>
      </c>
      <c r="D12" s="7" t="s">
        <v>17</v>
      </c>
      <c r="E12" s="7" t="s">
        <v>100</v>
      </c>
      <c r="F12" s="7" t="s">
        <v>101</v>
      </c>
      <c r="G12" s="7" t="s">
        <v>102</v>
      </c>
      <c r="H12" s="7" t="s">
        <v>103</v>
      </c>
      <c r="I12" s="7" t="s">
        <v>4</v>
      </c>
      <c r="J12" s="7" t="s">
        <v>104</v>
      </c>
      <c r="K12" s="7"/>
      <c r="L12" s="6"/>
      <c r="M12" s="6" t="s">
        <v>7</v>
      </c>
      <c r="N12" s="6"/>
      <c r="O12" s="6"/>
    </row>
    <row r="13" customFormat="false" ht="35.05" hidden="false" customHeight="false" outlineLevel="0" collapsed="false">
      <c r="A13" s="7" t="s">
        <v>105</v>
      </c>
      <c r="B13" s="7" t="s">
        <v>86</v>
      </c>
      <c r="C13" s="7" t="s">
        <v>10</v>
      </c>
      <c r="D13" s="7" t="s">
        <v>17</v>
      </c>
      <c r="E13" s="7" t="s">
        <v>106</v>
      </c>
      <c r="F13" s="7" t="s">
        <v>107</v>
      </c>
      <c r="G13" s="7" t="s">
        <v>108</v>
      </c>
      <c r="H13" s="7" t="s">
        <v>109</v>
      </c>
      <c r="I13" s="7" t="s">
        <v>4</v>
      </c>
      <c r="J13" s="7" t="s">
        <v>110</v>
      </c>
      <c r="K13" s="7"/>
      <c r="L13" s="6"/>
      <c r="M13" s="6" t="s">
        <v>7</v>
      </c>
      <c r="N13" s="6"/>
      <c r="O13" s="6"/>
    </row>
    <row r="14" customFormat="false" ht="23.85" hidden="false" customHeight="false" outlineLevel="0" collapsed="false">
      <c r="A14" s="7" t="s">
        <v>111</v>
      </c>
      <c r="B14" s="7" t="s">
        <v>86</v>
      </c>
      <c r="C14" s="7" t="s">
        <v>10</v>
      </c>
      <c r="D14" s="7" t="s">
        <v>17</v>
      </c>
      <c r="E14" s="7" t="s">
        <v>112</v>
      </c>
      <c r="F14" s="7" t="s">
        <v>113</v>
      </c>
      <c r="G14" s="7" t="s">
        <v>108</v>
      </c>
      <c r="H14" s="7" t="s">
        <v>114</v>
      </c>
      <c r="I14" s="7" t="s">
        <v>4</v>
      </c>
      <c r="J14" s="7" t="s">
        <v>115</v>
      </c>
      <c r="K14" s="7"/>
      <c r="L14" s="6"/>
      <c r="M14" s="6" t="s">
        <v>7</v>
      </c>
      <c r="N14" s="6"/>
      <c r="O14" s="6"/>
    </row>
    <row r="15" customFormat="false" ht="23.85" hidden="false" customHeight="false" outlineLevel="0" collapsed="false">
      <c r="A15" s="7" t="s">
        <v>116</v>
      </c>
      <c r="B15" s="7" t="s">
        <v>86</v>
      </c>
      <c r="C15" s="7" t="s">
        <v>10</v>
      </c>
      <c r="D15" s="7" t="s">
        <v>18</v>
      </c>
      <c r="E15" s="7" t="s">
        <v>117</v>
      </c>
      <c r="F15" s="7" t="s">
        <v>118</v>
      </c>
      <c r="G15" s="7" t="s">
        <v>108</v>
      </c>
      <c r="H15" s="7" t="s">
        <v>114</v>
      </c>
      <c r="I15" s="7" t="s">
        <v>4</v>
      </c>
      <c r="J15" s="7" t="s">
        <v>119</v>
      </c>
      <c r="K15" s="7"/>
      <c r="L15" s="6"/>
      <c r="M15" s="6" t="s">
        <v>7</v>
      </c>
      <c r="N15" s="6"/>
      <c r="O15" s="6"/>
    </row>
    <row r="16" customFormat="false" ht="23.85" hidden="false" customHeight="false" outlineLevel="0" collapsed="false">
      <c r="A16" s="7" t="s">
        <v>120</v>
      </c>
      <c r="B16" s="7" t="s">
        <v>86</v>
      </c>
      <c r="C16" s="7" t="s">
        <v>10</v>
      </c>
      <c r="D16" s="7" t="s">
        <v>18</v>
      </c>
      <c r="E16" s="7" t="s">
        <v>121</v>
      </c>
      <c r="F16" s="7" t="s">
        <v>122</v>
      </c>
      <c r="G16" s="7" t="s">
        <v>108</v>
      </c>
      <c r="H16" s="7" t="s">
        <v>114</v>
      </c>
      <c r="I16" s="7" t="s">
        <v>4</v>
      </c>
      <c r="J16" s="7" t="s">
        <v>123</v>
      </c>
      <c r="K16" s="7"/>
      <c r="L16" s="6"/>
      <c r="M16" s="6" t="s">
        <v>7</v>
      </c>
      <c r="N16" s="6"/>
      <c r="O16" s="6"/>
    </row>
    <row r="17" customFormat="false" ht="23.85" hidden="false" customHeight="false" outlineLevel="0" collapsed="false">
      <c r="A17" s="7" t="s">
        <v>124</v>
      </c>
      <c r="B17" s="7" t="s">
        <v>86</v>
      </c>
      <c r="C17" s="7" t="s">
        <v>10</v>
      </c>
      <c r="D17" s="7" t="s">
        <v>17</v>
      </c>
      <c r="E17" s="7" t="s">
        <v>125</v>
      </c>
      <c r="F17" s="7" t="s">
        <v>126</v>
      </c>
      <c r="G17" s="7" t="s">
        <v>108</v>
      </c>
      <c r="H17" s="7" t="s">
        <v>127</v>
      </c>
      <c r="I17" s="7" t="s">
        <v>4</v>
      </c>
      <c r="J17" s="7" t="s">
        <v>128</v>
      </c>
      <c r="K17" s="7"/>
      <c r="L17" s="6"/>
      <c r="M17" s="6" t="s">
        <v>7</v>
      </c>
      <c r="N17" s="6"/>
      <c r="O17" s="6"/>
    </row>
    <row r="18" customFormat="false" ht="23.85" hidden="false" customHeight="false" outlineLevel="0" collapsed="false">
      <c r="A18" s="7" t="s">
        <v>129</v>
      </c>
      <c r="B18" s="7" t="s">
        <v>86</v>
      </c>
      <c r="C18" s="7" t="s">
        <v>10</v>
      </c>
      <c r="D18" s="7" t="s">
        <v>17</v>
      </c>
      <c r="E18" s="7" t="s">
        <v>130</v>
      </c>
      <c r="F18" s="7" t="s">
        <v>131</v>
      </c>
      <c r="G18" s="7" t="s">
        <v>108</v>
      </c>
      <c r="H18" s="7" t="s">
        <v>132</v>
      </c>
      <c r="I18" s="7" t="s">
        <v>4</v>
      </c>
      <c r="J18" s="7" t="s">
        <v>133</v>
      </c>
      <c r="K18" s="7"/>
      <c r="L18" s="6"/>
      <c r="M18" s="6" t="s">
        <v>7</v>
      </c>
      <c r="N18" s="6"/>
      <c r="O18" s="6"/>
    </row>
    <row r="19" customFormat="false" ht="23.85" hidden="false" customHeight="false" outlineLevel="0" collapsed="false">
      <c r="A19" s="7" t="s">
        <v>134</v>
      </c>
      <c r="B19" s="7" t="s">
        <v>86</v>
      </c>
      <c r="C19" s="7" t="s">
        <v>10</v>
      </c>
      <c r="D19" s="7" t="s">
        <v>17</v>
      </c>
      <c r="E19" s="7" t="s">
        <v>135</v>
      </c>
      <c r="F19" s="7" t="s">
        <v>136</v>
      </c>
      <c r="G19" s="7" t="s">
        <v>89</v>
      </c>
      <c r="H19" s="7" t="s">
        <v>137</v>
      </c>
      <c r="I19" s="7" t="s">
        <v>4</v>
      </c>
      <c r="J19" s="7" t="s">
        <v>138</v>
      </c>
      <c r="K19" s="7"/>
      <c r="L19" s="6"/>
      <c r="M19" s="6" t="s">
        <v>7</v>
      </c>
      <c r="N19" s="6"/>
      <c r="O19" s="6"/>
    </row>
    <row r="20" customFormat="false" ht="35.05" hidden="false" customHeight="false" outlineLevel="0" collapsed="false">
      <c r="A20" s="7" t="s">
        <v>139</v>
      </c>
      <c r="B20" s="7" t="s">
        <v>86</v>
      </c>
      <c r="C20" s="7" t="s">
        <v>10</v>
      </c>
      <c r="D20" s="7" t="s">
        <v>17</v>
      </c>
      <c r="E20" s="7" t="s">
        <v>140</v>
      </c>
      <c r="F20" s="7" t="s">
        <v>141</v>
      </c>
      <c r="G20" s="7" t="s">
        <v>89</v>
      </c>
      <c r="H20" s="7" t="s">
        <v>142</v>
      </c>
      <c r="I20" s="7" t="s">
        <v>4</v>
      </c>
      <c r="J20" s="7" t="s">
        <v>143</v>
      </c>
      <c r="K20" s="7"/>
      <c r="L20" s="6"/>
      <c r="M20" s="6" t="s">
        <v>7</v>
      </c>
      <c r="N20" s="6"/>
      <c r="O20" s="6"/>
    </row>
    <row r="21" customFormat="false" ht="23.85" hidden="false" customHeight="false" outlineLevel="0" collapsed="false">
      <c r="A21" s="7" t="s">
        <v>144</v>
      </c>
      <c r="B21" s="7" t="s">
        <v>145</v>
      </c>
      <c r="C21" s="7" t="s">
        <v>11</v>
      </c>
      <c r="D21" s="7" t="s">
        <v>17</v>
      </c>
      <c r="E21" s="7" t="s">
        <v>146</v>
      </c>
      <c r="F21" s="7" t="s">
        <v>147</v>
      </c>
      <c r="G21" s="7" t="s">
        <v>148</v>
      </c>
      <c r="H21" s="7" t="s">
        <v>149</v>
      </c>
      <c r="I21" s="7" t="s">
        <v>4</v>
      </c>
      <c r="J21" s="7" t="s">
        <v>150</v>
      </c>
      <c r="K21" s="7"/>
      <c r="L21" s="6"/>
      <c r="M21" s="6" t="s">
        <v>7</v>
      </c>
      <c r="N21" s="6"/>
      <c r="O21" s="6"/>
    </row>
    <row r="22" customFormat="false" ht="35.05" hidden="false" customHeight="false" outlineLevel="0" collapsed="false">
      <c r="A22" s="7" t="s">
        <v>151</v>
      </c>
      <c r="B22" s="7" t="s">
        <v>145</v>
      </c>
      <c r="C22" s="7" t="s">
        <v>11</v>
      </c>
      <c r="D22" s="7" t="s">
        <v>17</v>
      </c>
      <c r="E22" s="7" t="s">
        <v>152</v>
      </c>
      <c r="F22" s="7" t="s">
        <v>153</v>
      </c>
      <c r="G22" s="7" t="s">
        <v>154</v>
      </c>
      <c r="H22" s="7" t="s">
        <v>155</v>
      </c>
      <c r="I22" s="7" t="s">
        <v>4</v>
      </c>
      <c r="J22" s="7" t="s">
        <v>156</v>
      </c>
      <c r="K22" s="7"/>
      <c r="L22" s="6"/>
      <c r="M22" s="6" t="s">
        <v>7</v>
      </c>
      <c r="N22" s="6"/>
      <c r="O22" s="6"/>
    </row>
    <row r="23" customFormat="false" ht="23.85" hidden="false" customHeight="false" outlineLevel="0" collapsed="false">
      <c r="A23" s="7" t="s">
        <v>157</v>
      </c>
      <c r="B23" s="7" t="s">
        <v>145</v>
      </c>
      <c r="C23" s="7" t="s">
        <v>11</v>
      </c>
      <c r="D23" s="7" t="s">
        <v>17</v>
      </c>
      <c r="E23" s="7" t="s">
        <v>158</v>
      </c>
      <c r="F23" s="7" t="s">
        <v>159</v>
      </c>
      <c r="G23" s="7" t="s">
        <v>154</v>
      </c>
      <c r="H23" s="7" t="s">
        <v>160</v>
      </c>
      <c r="I23" s="7" t="s">
        <v>4</v>
      </c>
      <c r="J23" s="7" t="s">
        <v>161</v>
      </c>
      <c r="K23" s="7"/>
      <c r="L23" s="6"/>
      <c r="M23" s="6" t="s">
        <v>7</v>
      </c>
      <c r="N23" s="6"/>
      <c r="O23" s="6"/>
    </row>
    <row r="24" customFormat="false" ht="23.85" hidden="false" customHeight="false" outlineLevel="0" collapsed="false">
      <c r="A24" s="7" t="s">
        <v>162</v>
      </c>
      <c r="B24" s="7" t="s">
        <v>163</v>
      </c>
      <c r="C24" s="7" t="s">
        <v>11</v>
      </c>
      <c r="D24" s="7" t="s">
        <v>17</v>
      </c>
      <c r="E24" s="7" t="s">
        <v>146</v>
      </c>
      <c r="F24" s="7" t="s">
        <v>164</v>
      </c>
      <c r="G24" s="7" t="s">
        <v>165</v>
      </c>
      <c r="H24" s="7" t="s">
        <v>149</v>
      </c>
      <c r="I24" s="7" t="s">
        <v>4</v>
      </c>
      <c r="J24" s="7" t="s">
        <v>166</v>
      </c>
      <c r="K24" s="7"/>
      <c r="L24" s="6"/>
      <c r="M24" s="6" t="s">
        <v>7</v>
      </c>
      <c r="N24" s="6"/>
      <c r="O24" s="6"/>
    </row>
    <row r="25" customFormat="false" ht="23.85" hidden="false" customHeight="false" outlineLevel="0" collapsed="false">
      <c r="A25" s="7" t="s">
        <v>167</v>
      </c>
      <c r="B25" s="7" t="s">
        <v>163</v>
      </c>
      <c r="C25" s="7" t="s">
        <v>11</v>
      </c>
      <c r="D25" s="7" t="s">
        <v>17</v>
      </c>
      <c r="E25" s="7" t="s">
        <v>168</v>
      </c>
      <c r="F25" s="7" t="s">
        <v>153</v>
      </c>
      <c r="G25" s="7" t="s">
        <v>169</v>
      </c>
      <c r="H25" s="7" t="s">
        <v>170</v>
      </c>
      <c r="I25" s="7" t="s">
        <v>4</v>
      </c>
      <c r="J25" s="7" t="s">
        <v>171</v>
      </c>
      <c r="K25" s="7"/>
      <c r="L25" s="6"/>
      <c r="M25" s="6" t="s">
        <v>7</v>
      </c>
      <c r="N25" s="6"/>
      <c r="O25" s="6"/>
    </row>
    <row r="26" customFormat="false" ht="23.85" hidden="false" customHeight="false" outlineLevel="0" collapsed="false">
      <c r="A26" s="7" t="s">
        <v>172</v>
      </c>
      <c r="B26" s="7" t="s">
        <v>173</v>
      </c>
      <c r="C26" s="7" t="s">
        <v>11</v>
      </c>
      <c r="D26" s="7" t="s">
        <v>18</v>
      </c>
      <c r="E26" s="7" t="s">
        <v>174</v>
      </c>
      <c r="F26" s="7" t="s">
        <v>175</v>
      </c>
      <c r="G26" s="7" t="s">
        <v>176</v>
      </c>
      <c r="H26" s="7" t="s">
        <v>177</v>
      </c>
      <c r="I26" s="7" t="s">
        <v>4</v>
      </c>
      <c r="J26" s="7" t="s">
        <v>178</v>
      </c>
      <c r="K26" s="7"/>
      <c r="L26" s="6"/>
      <c r="M26" s="6" t="s">
        <v>7</v>
      </c>
      <c r="N26" s="6"/>
      <c r="O26" s="6"/>
    </row>
    <row r="27" customFormat="false" ht="23.85" hidden="false" customHeight="false" outlineLevel="0" collapsed="false">
      <c r="A27" s="7" t="s">
        <v>179</v>
      </c>
      <c r="B27" s="7" t="s">
        <v>173</v>
      </c>
      <c r="C27" s="7" t="s">
        <v>11</v>
      </c>
      <c r="D27" s="7" t="s">
        <v>17</v>
      </c>
      <c r="E27" s="7" t="s">
        <v>180</v>
      </c>
      <c r="F27" s="7" t="s">
        <v>181</v>
      </c>
      <c r="G27" s="7" t="s">
        <v>182</v>
      </c>
      <c r="H27" s="7" t="s">
        <v>183</v>
      </c>
      <c r="I27" s="7" t="s">
        <v>5</v>
      </c>
      <c r="J27" s="7" t="s">
        <v>184</v>
      </c>
      <c r="K27" s="7" t="s">
        <v>185</v>
      </c>
      <c r="L27" s="6"/>
      <c r="M27" s="6" t="s">
        <v>7</v>
      </c>
      <c r="N27" s="6"/>
      <c r="O27" s="6"/>
    </row>
    <row r="28" customFormat="false" ht="23.85" hidden="false" customHeight="false" outlineLevel="0" collapsed="false">
      <c r="A28" s="7" t="s">
        <v>186</v>
      </c>
      <c r="B28" s="7" t="s">
        <v>187</v>
      </c>
      <c r="C28" s="7" t="s">
        <v>11</v>
      </c>
      <c r="D28" s="7" t="s">
        <v>17</v>
      </c>
      <c r="E28" s="7" t="s">
        <v>188</v>
      </c>
      <c r="F28" s="7" t="s">
        <v>189</v>
      </c>
      <c r="G28" s="7" t="s">
        <v>190</v>
      </c>
      <c r="H28" s="7" t="s">
        <v>191</v>
      </c>
      <c r="I28" s="7" t="s">
        <v>4</v>
      </c>
      <c r="J28" s="7" t="s">
        <v>192</v>
      </c>
      <c r="K28" s="7"/>
      <c r="L28" s="6"/>
      <c r="M28" s="6" t="s">
        <v>7</v>
      </c>
      <c r="N28" s="6"/>
      <c r="O28" s="6"/>
    </row>
    <row r="29" customFormat="false" ht="46.25" hidden="false" customHeight="false" outlineLevel="0" collapsed="false">
      <c r="A29" s="7" t="s">
        <v>193</v>
      </c>
      <c r="B29" s="7" t="s">
        <v>187</v>
      </c>
      <c r="C29" s="7" t="s">
        <v>11</v>
      </c>
      <c r="D29" s="7" t="s">
        <v>17</v>
      </c>
      <c r="E29" s="7" t="s">
        <v>194</v>
      </c>
      <c r="F29" s="7" t="s">
        <v>189</v>
      </c>
      <c r="G29" s="7" t="s">
        <v>190</v>
      </c>
      <c r="H29" s="7" t="s">
        <v>195</v>
      </c>
      <c r="I29" s="7" t="s">
        <v>4</v>
      </c>
      <c r="J29" s="7" t="s">
        <v>196</v>
      </c>
      <c r="K29" s="7"/>
      <c r="L29" s="6"/>
      <c r="M29" s="6" t="s">
        <v>7</v>
      </c>
      <c r="N29" s="6"/>
      <c r="O29" s="6"/>
    </row>
    <row r="30" customFormat="false" ht="23.85" hidden="false" customHeight="false" outlineLevel="0" collapsed="false">
      <c r="A30" s="7" t="s">
        <v>197</v>
      </c>
      <c r="B30" s="7" t="s">
        <v>187</v>
      </c>
      <c r="C30" s="7" t="s">
        <v>11</v>
      </c>
      <c r="D30" s="7" t="s">
        <v>18</v>
      </c>
      <c r="E30" s="7" t="s">
        <v>198</v>
      </c>
      <c r="F30" s="7" t="s">
        <v>189</v>
      </c>
      <c r="G30" s="7" t="s">
        <v>190</v>
      </c>
      <c r="H30" s="7" t="s">
        <v>199</v>
      </c>
      <c r="I30" s="7" t="s">
        <v>4</v>
      </c>
      <c r="J30" s="7" t="s">
        <v>200</v>
      </c>
      <c r="K30" s="7"/>
      <c r="L30" s="6"/>
      <c r="M30" s="6" t="s">
        <v>7</v>
      </c>
      <c r="N30" s="6"/>
      <c r="O30" s="6"/>
    </row>
    <row r="31" customFormat="false" ht="23.85" hidden="false" customHeight="false" outlineLevel="0" collapsed="false">
      <c r="A31" s="7" t="s">
        <v>201</v>
      </c>
      <c r="B31" s="7" t="s">
        <v>86</v>
      </c>
      <c r="C31" s="7" t="s">
        <v>11</v>
      </c>
      <c r="D31" s="7" t="s">
        <v>17</v>
      </c>
      <c r="E31" s="7" t="s">
        <v>202</v>
      </c>
      <c r="F31" s="7" t="s">
        <v>203</v>
      </c>
      <c r="G31" s="7" t="s">
        <v>89</v>
      </c>
      <c r="H31" s="7" t="s">
        <v>204</v>
      </c>
      <c r="I31" s="7" t="s">
        <v>4</v>
      </c>
      <c r="J31" s="7" t="s">
        <v>205</v>
      </c>
      <c r="K31" s="7"/>
      <c r="L31" s="6"/>
      <c r="M31" s="6" t="s">
        <v>7</v>
      </c>
      <c r="N31" s="6"/>
      <c r="O31" s="6"/>
    </row>
    <row r="32" customFormat="false" ht="46.25" hidden="false" customHeight="false" outlineLevel="0" collapsed="false">
      <c r="A32" s="7" t="s">
        <v>206</v>
      </c>
      <c r="B32" s="7" t="s">
        <v>86</v>
      </c>
      <c r="C32" s="7" t="s">
        <v>11</v>
      </c>
      <c r="D32" s="7" t="s">
        <v>17</v>
      </c>
      <c r="E32" s="7" t="s">
        <v>207</v>
      </c>
      <c r="F32" s="7" t="s">
        <v>208</v>
      </c>
      <c r="G32" s="7" t="s">
        <v>89</v>
      </c>
      <c r="H32" s="7" t="s">
        <v>209</v>
      </c>
      <c r="I32" s="7" t="s">
        <v>4</v>
      </c>
      <c r="J32" s="7" t="s">
        <v>210</v>
      </c>
      <c r="K32" s="7"/>
      <c r="L32" s="6"/>
      <c r="M32" s="6" t="s">
        <v>7</v>
      </c>
      <c r="N32" s="6"/>
      <c r="O32" s="6"/>
    </row>
    <row r="33" customFormat="false" ht="35.05" hidden="false" customHeight="false" outlineLevel="0" collapsed="false">
      <c r="A33" s="7" t="s">
        <v>211</v>
      </c>
      <c r="B33" s="7" t="s">
        <v>86</v>
      </c>
      <c r="C33" s="7" t="s">
        <v>11</v>
      </c>
      <c r="D33" s="7" t="s">
        <v>18</v>
      </c>
      <c r="E33" s="7" t="s">
        <v>212</v>
      </c>
      <c r="F33" s="7" t="s">
        <v>208</v>
      </c>
      <c r="G33" s="7" t="s">
        <v>89</v>
      </c>
      <c r="H33" s="7" t="s">
        <v>213</v>
      </c>
      <c r="I33" s="7" t="s">
        <v>4</v>
      </c>
      <c r="J33" s="7" t="s">
        <v>214</v>
      </c>
      <c r="K33" s="7"/>
      <c r="L33" s="6"/>
      <c r="M33" s="6" t="s">
        <v>7</v>
      </c>
      <c r="N33" s="6"/>
      <c r="O33" s="6"/>
    </row>
  </sheetData>
  <autoFilter ref="A3:O33"/>
  <conditionalFormatting sqref="M4:M3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</conditionalFormatting>
  <conditionalFormatting sqref="I4:I33">
    <cfRule type="cellIs" priority="5" operator="equal" aboveAverage="0" equalAverage="0" bottom="0" percent="0" rank="0" text="" dxfId="7">
      <formula>"Fail"</formula>
    </cfRule>
  </conditionalFormatting>
  <dataValidations count="1">
    <dataValidation allowBlank="false" errorStyle="stop" operator="between" showDropDown="false" showErrorMessage="false" showInputMessage="false" sqref="M4:M33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0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4" t="s">
        <v>216</v>
      </c>
    </row>
    <row r="4" customFormat="false" ht="15" hidden="false" customHeight="false" outlineLevel="0" collapsed="false">
      <c r="A4" s="3" t="s">
        <v>217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222</v>
      </c>
      <c r="G4" s="3" t="s">
        <v>223</v>
      </c>
      <c r="H4" s="3" t="s">
        <v>224</v>
      </c>
      <c r="I4" s="3" t="s">
        <v>225</v>
      </c>
      <c r="J4" s="3" t="s">
        <v>226</v>
      </c>
      <c r="K4" s="3" t="s">
        <v>227</v>
      </c>
      <c r="L4" s="3" t="s">
        <v>1</v>
      </c>
    </row>
    <row r="5" customFormat="false" ht="23.85" hidden="false" customHeight="false" outlineLevel="0" collapsed="false">
      <c r="A5" s="7" t="s">
        <v>228</v>
      </c>
      <c r="B5" s="7" t="s">
        <v>229</v>
      </c>
      <c r="C5" s="7" t="s">
        <v>230</v>
      </c>
      <c r="D5" s="7" t="s">
        <v>231</v>
      </c>
      <c r="E5" s="7" t="s">
        <v>232</v>
      </c>
      <c r="F5" s="7" t="s">
        <v>233</v>
      </c>
      <c r="G5" s="7" t="s">
        <v>234</v>
      </c>
      <c r="H5" s="7" t="s">
        <v>235</v>
      </c>
      <c r="I5" s="7" t="s">
        <v>236</v>
      </c>
      <c r="J5" s="7" t="s">
        <v>237</v>
      </c>
      <c r="K5" s="7" t="s">
        <v>238</v>
      </c>
      <c r="L5" s="7" t="s">
        <v>239</v>
      </c>
    </row>
    <row r="6" customFormat="false" ht="23.85" hidden="false" customHeight="false" outlineLevel="0" collapsed="false">
      <c r="A6" s="7" t="s">
        <v>240</v>
      </c>
      <c r="B6" s="7" t="s">
        <v>241</v>
      </c>
      <c r="C6" s="7" t="s">
        <v>242</v>
      </c>
      <c r="D6" s="7" t="s">
        <v>243</v>
      </c>
      <c r="E6" s="7" t="s">
        <v>243</v>
      </c>
      <c r="F6" s="7" t="s">
        <v>243</v>
      </c>
      <c r="G6" s="7" t="s">
        <v>244</v>
      </c>
      <c r="H6" s="7" t="s">
        <v>243</v>
      </c>
      <c r="I6" s="7" t="s">
        <v>245</v>
      </c>
      <c r="J6" s="7" t="s">
        <v>246</v>
      </c>
      <c r="K6" s="7" t="s">
        <v>247</v>
      </c>
      <c r="L6" s="7" t="s">
        <v>85</v>
      </c>
    </row>
    <row r="7" customFormat="false" ht="23.85" hidden="false" customHeight="false" outlineLevel="0" collapsed="false">
      <c r="A7" s="7" t="s">
        <v>248</v>
      </c>
      <c r="B7" s="7" t="s">
        <v>241</v>
      </c>
      <c r="C7" s="7" t="s">
        <v>249</v>
      </c>
      <c r="D7" s="7" t="s">
        <v>231</v>
      </c>
      <c r="E7" s="7" t="s">
        <v>245</v>
      </c>
      <c r="F7" s="7" t="s">
        <v>246</v>
      </c>
      <c r="G7" s="7" t="s">
        <v>250</v>
      </c>
      <c r="H7" s="7" t="s">
        <v>243</v>
      </c>
      <c r="I7" s="7" t="s">
        <v>243</v>
      </c>
      <c r="J7" s="7" t="s">
        <v>243</v>
      </c>
      <c r="K7" s="7" t="s">
        <v>251</v>
      </c>
      <c r="L7" s="7" t="s">
        <v>252</v>
      </c>
    </row>
    <row r="8" customFormat="false" ht="35.05" hidden="false" customHeight="false" outlineLevel="0" collapsed="false">
      <c r="A8" s="7" t="s">
        <v>253</v>
      </c>
      <c r="B8" s="7" t="s">
        <v>241</v>
      </c>
      <c r="C8" s="7" t="s">
        <v>254</v>
      </c>
      <c r="D8" s="7" t="s">
        <v>255</v>
      </c>
      <c r="E8" s="7" t="s">
        <v>256</v>
      </c>
      <c r="F8" s="7" t="s">
        <v>257</v>
      </c>
      <c r="G8" s="7" t="s">
        <v>243</v>
      </c>
      <c r="H8" s="7" t="s">
        <v>256</v>
      </c>
      <c r="I8" s="7" t="s">
        <v>257</v>
      </c>
      <c r="J8" s="7" t="s">
        <v>258</v>
      </c>
      <c r="K8" s="7" t="s">
        <v>259</v>
      </c>
      <c r="L8" s="7" t="s">
        <v>99</v>
      </c>
    </row>
    <row r="10" customFormat="false" ht="15" hidden="false" customHeight="false" outlineLevel="0" collapsed="false">
      <c r="A10" s="4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4" t="s">
        <v>262</v>
      </c>
    </row>
    <row r="3" customFormat="false" ht="15" hidden="false" customHeight="false" outlineLevel="0" collapsed="false">
      <c r="A3" s="3" t="s">
        <v>217</v>
      </c>
      <c r="B3" s="3" t="s">
        <v>263</v>
      </c>
      <c r="C3" s="3" t="s">
        <v>264</v>
      </c>
      <c r="D3" s="3" t="s">
        <v>265</v>
      </c>
      <c r="E3" s="3" t="s">
        <v>266</v>
      </c>
      <c r="F3" s="3" t="s">
        <v>267</v>
      </c>
      <c r="G3" s="3" t="s">
        <v>1</v>
      </c>
    </row>
    <row r="4" customFormat="false" ht="15" hidden="false" customHeight="false" outlineLevel="0" collapsed="false">
      <c r="A4" s="7" t="s">
        <v>268</v>
      </c>
      <c r="B4" s="7" t="s">
        <v>269</v>
      </c>
      <c r="C4" s="7" t="s">
        <v>270</v>
      </c>
      <c r="D4" s="7" t="s">
        <v>271</v>
      </c>
      <c r="E4" s="7" t="s">
        <v>272</v>
      </c>
      <c r="F4" s="7" t="s">
        <v>273</v>
      </c>
      <c r="G4" s="7" t="s">
        <v>274</v>
      </c>
    </row>
    <row r="5" customFormat="false" ht="15" hidden="false" customHeight="false" outlineLevel="0" collapsed="false">
      <c r="A5" s="7" t="s">
        <v>268</v>
      </c>
      <c r="B5" s="7" t="s">
        <v>275</v>
      </c>
      <c r="C5" s="7" t="s">
        <v>276</v>
      </c>
      <c r="D5" s="7" t="s">
        <v>277</v>
      </c>
      <c r="E5" s="7" t="s">
        <v>278</v>
      </c>
      <c r="F5" s="7" t="s">
        <v>279</v>
      </c>
      <c r="G5" s="7" t="s">
        <v>105</v>
      </c>
    </row>
    <row r="6" customFormat="false" ht="15" hidden="false" customHeight="false" outlineLevel="0" collapsed="false">
      <c r="A6" s="7" t="s">
        <v>280</v>
      </c>
      <c r="B6" s="7" t="s">
        <v>281</v>
      </c>
      <c r="C6" s="7" t="s">
        <v>282</v>
      </c>
      <c r="D6" s="7" t="s">
        <v>271</v>
      </c>
      <c r="E6" s="7" t="s">
        <v>283</v>
      </c>
      <c r="F6" s="7" t="s">
        <v>273</v>
      </c>
      <c r="G6" s="7" t="s">
        <v>139</v>
      </c>
    </row>
    <row r="7" customFormat="false" ht="15" hidden="false" customHeight="false" outlineLevel="0" collapsed="false">
      <c r="A7" s="7" t="s">
        <v>280</v>
      </c>
      <c r="B7" s="7" t="s">
        <v>284</v>
      </c>
      <c r="C7" s="7" t="s">
        <v>285</v>
      </c>
      <c r="D7" s="7" t="s">
        <v>277</v>
      </c>
      <c r="E7" s="7" t="s">
        <v>286</v>
      </c>
      <c r="F7" s="7" t="s">
        <v>287</v>
      </c>
      <c r="G7" s="7" t="s">
        <v>111</v>
      </c>
    </row>
    <row r="8" customFormat="false" ht="15" hidden="false" customHeight="false" outlineLevel="0" collapsed="false">
      <c r="A8" s="7" t="s">
        <v>280</v>
      </c>
      <c r="B8" s="7" t="s">
        <v>288</v>
      </c>
      <c r="C8" s="7" t="s">
        <v>289</v>
      </c>
      <c r="D8" s="7" t="s">
        <v>277</v>
      </c>
      <c r="E8" s="7" t="s">
        <v>290</v>
      </c>
      <c r="F8" s="7" t="s">
        <v>287</v>
      </c>
      <c r="G8" s="7" t="s">
        <v>116</v>
      </c>
    </row>
    <row r="9" customFormat="false" ht="15" hidden="false" customHeight="false" outlineLevel="0" collapsed="false">
      <c r="A9" s="7" t="s">
        <v>280</v>
      </c>
      <c r="B9" s="7" t="s">
        <v>291</v>
      </c>
      <c r="C9" s="7" t="s">
        <v>292</v>
      </c>
      <c r="D9" s="7" t="s">
        <v>277</v>
      </c>
      <c r="E9" s="7" t="s">
        <v>293</v>
      </c>
      <c r="F9" s="7" t="s">
        <v>287</v>
      </c>
      <c r="G9" s="7" t="s">
        <v>120</v>
      </c>
    </row>
    <row r="10" customFormat="false" ht="15" hidden="false" customHeight="false" outlineLevel="0" collapsed="false">
      <c r="A10" s="7" t="s">
        <v>294</v>
      </c>
      <c r="B10" s="7" t="s">
        <v>295</v>
      </c>
      <c r="C10" s="7" t="s">
        <v>296</v>
      </c>
      <c r="D10" s="7" t="s">
        <v>271</v>
      </c>
      <c r="E10" s="7" t="s">
        <v>297</v>
      </c>
      <c r="F10" s="7" t="s">
        <v>273</v>
      </c>
      <c r="G10" s="7" t="s">
        <v>139</v>
      </c>
    </row>
    <row r="11" customFormat="false" ht="15" hidden="false" customHeight="false" outlineLevel="0" collapsed="false">
      <c r="A11" s="7" t="s">
        <v>294</v>
      </c>
      <c r="B11" s="7" t="s">
        <v>298</v>
      </c>
      <c r="C11" s="7" t="s">
        <v>299</v>
      </c>
      <c r="D11" s="7" t="s">
        <v>277</v>
      </c>
      <c r="E11" s="7" t="s">
        <v>300</v>
      </c>
      <c r="F11" s="7" t="s">
        <v>301</v>
      </c>
      <c r="G11" s="7" t="s">
        <v>124</v>
      </c>
    </row>
    <row r="12" customFormat="false" ht="15" hidden="false" customHeight="false" outlineLevel="0" collapsed="false">
      <c r="A12" s="7" t="s">
        <v>294</v>
      </c>
      <c r="B12" s="7" t="s">
        <v>302</v>
      </c>
      <c r="C12" s="7" t="s">
        <v>303</v>
      </c>
      <c r="D12" s="7" t="s">
        <v>277</v>
      </c>
      <c r="E12" s="7" t="s">
        <v>304</v>
      </c>
      <c r="F12" s="7" t="s">
        <v>305</v>
      </c>
      <c r="G12" s="7" t="s">
        <v>129</v>
      </c>
    </row>
    <row r="13" customFormat="false" ht="15" hidden="false" customHeight="false" outlineLevel="0" collapsed="false">
      <c r="A13" s="7" t="s">
        <v>306</v>
      </c>
      <c r="B13" s="7" t="s">
        <v>307</v>
      </c>
      <c r="C13" s="7" t="s">
        <v>308</v>
      </c>
      <c r="D13" s="7" t="s">
        <v>271</v>
      </c>
      <c r="E13" s="7" t="s">
        <v>256</v>
      </c>
      <c r="F13" s="7" t="s">
        <v>309</v>
      </c>
      <c r="G13" s="7" t="s">
        <v>139</v>
      </c>
    </row>
    <row r="14" customFormat="false" ht="15" hidden="false" customHeight="false" outlineLevel="0" collapsed="false">
      <c r="A14" s="7" t="s">
        <v>306</v>
      </c>
      <c r="B14" s="7" t="s">
        <v>310</v>
      </c>
      <c r="C14" s="7" t="s">
        <v>311</v>
      </c>
      <c r="D14" s="7" t="s">
        <v>277</v>
      </c>
      <c r="E14" s="7" t="s">
        <v>312</v>
      </c>
      <c r="F14" s="7" t="s">
        <v>313</v>
      </c>
      <c r="G14" s="7" t="s">
        <v>134</v>
      </c>
    </row>
    <row r="15" customFormat="false" ht="15" hidden="false" customHeight="false" outlineLevel="0" collapsed="false">
      <c r="A15" s="7" t="s">
        <v>314</v>
      </c>
      <c r="B15" s="7" t="s">
        <v>315</v>
      </c>
      <c r="C15" s="7" t="s">
        <v>316</v>
      </c>
      <c r="D15" s="7" t="s">
        <v>271</v>
      </c>
      <c r="E15" s="7" t="s">
        <v>233</v>
      </c>
      <c r="F15" s="7" t="s">
        <v>273</v>
      </c>
      <c r="G15" s="7" t="s">
        <v>317</v>
      </c>
    </row>
    <row r="16" customFormat="false" ht="15" hidden="false" customHeight="false" outlineLevel="0" collapsed="false">
      <c r="A16" s="7" t="s">
        <v>314</v>
      </c>
      <c r="B16" s="7" t="s">
        <v>318</v>
      </c>
      <c r="C16" s="7" t="s">
        <v>319</v>
      </c>
      <c r="D16" s="7" t="s">
        <v>277</v>
      </c>
      <c r="E16" s="7" t="s">
        <v>320</v>
      </c>
      <c r="F16" s="7" t="s">
        <v>321</v>
      </c>
      <c r="G16" s="7" t="s">
        <v>322</v>
      </c>
    </row>
    <row r="17" customFormat="false" ht="23.85" hidden="false" customHeight="false" outlineLevel="0" collapsed="false">
      <c r="A17" s="7" t="s">
        <v>323</v>
      </c>
      <c r="B17" s="7" t="s">
        <v>324</v>
      </c>
      <c r="C17" s="7" t="s">
        <v>325</v>
      </c>
      <c r="D17" s="7" t="s">
        <v>277</v>
      </c>
      <c r="E17" s="7" t="s">
        <v>326</v>
      </c>
      <c r="F17" s="7" t="s">
        <v>327</v>
      </c>
      <c r="G17" s="7" t="s">
        <v>328</v>
      </c>
    </row>
    <row r="18" customFormat="false" ht="15" hidden="false" customHeight="false" outlineLevel="0" collapsed="false">
      <c r="A18" s="7" t="s">
        <v>323</v>
      </c>
      <c r="B18" s="7" t="s">
        <v>329</v>
      </c>
      <c r="C18" s="7" t="s">
        <v>330</v>
      </c>
      <c r="D18" s="7" t="s">
        <v>271</v>
      </c>
      <c r="E18" s="7" t="s">
        <v>331</v>
      </c>
      <c r="F18" s="7" t="s">
        <v>332</v>
      </c>
      <c r="G18" s="7" t="s">
        <v>333</v>
      </c>
    </row>
    <row r="19" customFormat="false" ht="23.85" hidden="false" customHeight="false" outlineLevel="0" collapsed="false">
      <c r="A19" s="7" t="s">
        <v>334</v>
      </c>
      <c r="B19" s="7" t="s">
        <v>335</v>
      </c>
      <c r="C19" s="7" t="s">
        <v>336</v>
      </c>
      <c r="D19" s="7" t="s">
        <v>277</v>
      </c>
      <c r="E19" s="7" t="s">
        <v>337</v>
      </c>
      <c r="F19" s="7" t="s">
        <v>338</v>
      </c>
      <c r="G19" s="7" t="s">
        <v>339</v>
      </c>
    </row>
    <row r="20" customFormat="false" ht="15" hidden="false" customHeight="false" outlineLevel="0" collapsed="false">
      <c r="A20" s="7" t="s">
        <v>334</v>
      </c>
      <c r="B20" s="7" t="s">
        <v>340</v>
      </c>
      <c r="C20" s="7" t="s">
        <v>341</v>
      </c>
      <c r="D20" s="7" t="s">
        <v>271</v>
      </c>
      <c r="E20" s="7" t="s">
        <v>342</v>
      </c>
      <c r="F20" s="7" t="s">
        <v>343</v>
      </c>
      <c r="G20" s="7" t="s">
        <v>344</v>
      </c>
    </row>
    <row r="21" customFormat="false" ht="15" hidden="false" customHeight="false" outlineLevel="0" collapsed="false">
      <c r="A21" s="7" t="s">
        <v>345</v>
      </c>
      <c r="B21" s="7" t="s">
        <v>346</v>
      </c>
      <c r="C21" s="7" t="s">
        <v>347</v>
      </c>
      <c r="D21" s="7" t="s">
        <v>277</v>
      </c>
      <c r="E21" s="7" t="s">
        <v>348</v>
      </c>
      <c r="F21" s="7" t="s">
        <v>349</v>
      </c>
      <c r="G21" s="7" t="s">
        <v>197</v>
      </c>
    </row>
    <row r="22" customFormat="false" ht="15" hidden="false" customHeight="false" outlineLevel="0" collapsed="false">
      <c r="A22" s="7" t="s">
        <v>350</v>
      </c>
      <c r="B22" s="7" t="s">
        <v>351</v>
      </c>
      <c r="C22" s="7" t="s">
        <v>352</v>
      </c>
      <c r="D22" s="7" t="s">
        <v>353</v>
      </c>
      <c r="E22" s="7" t="s">
        <v>354</v>
      </c>
      <c r="F22" s="7" t="s">
        <v>355</v>
      </c>
      <c r="G22" s="7" t="s">
        <v>157</v>
      </c>
    </row>
    <row r="23" customFormat="false" ht="15" hidden="false" customHeight="false" outlineLevel="0" collapsed="false">
      <c r="A23" s="7" t="s">
        <v>350</v>
      </c>
      <c r="B23" s="7" t="s">
        <v>356</v>
      </c>
      <c r="C23" s="7" t="s">
        <v>357</v>
      </c>
      <c r="D23" s="7" t="s">
        <v>353</v>
      </c>
      <c r="E23" s="7" t="s">
        <v>358</v>
      </c>
      <c r="F23" s="7" t="s">
        <v>359</v>
      </c>
      <c r="G23" s="7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58"/>
    <col collapsed="false" customWidth="true" hidden="false" outlineLevel="0" max="4" min="4" style="0" width="52"/>
    <col collapsed="false" customWidth="true" hidden="false" outlineLevel="0" max="5" min="5" style="0" width="48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4" t="s">
        <v>362</v>
      </c>
    </row>
    <row r="4" customFormat="false" ht="23.85" hidden="false" customHeight="false" outlineLevel="0" collapsed="false">
      <c r="A4" s="3" t="s">
        <v>218</v>
      </c>
      <c r="B4" s="3" t="s">
        <v>363</v>
      </c>
      <c r="C4" s="3" t="s">
        <v>364</v>
      </c>
      <c r="D4" s="3" t="s">
        <v>365</v>
      </c>
      <c r="E4" s="3" t="s">
        <v>366</v>
      </c>
      <c r="F4" s="3" t="s">
        <v>367</v>
      </c>
      <c r="G4" s="3" t="s">
        <v>368</v>
      </c>
    </row>
    <row r="5" customFormat="false" ht="23.85" hidden="false" customHeight="false" outlineLevel="0" collapsed="false">
      <c r="A5" s="7" t="s">
        <v>145</v>
      </c>
      <c r="B5" s="7" t="s">
        <v>369</v>
      </c>
      <c r="C5" s="7" t="s">
        <v>370</v>
      </c>
      <c r="D5" s="8" t="n">
        <v>4</v>
      </c>
      <c r="E5" s="7" t="n">
        <f aca="false">D5+1</f>
        <v>5</v>
      </c>
      <c r="F5" s="7" t="n">
        <f aca="false">COUNTIF($A$13:$A$44,A5)</f>
        <v>5</v>
      </c>
      <c r="G5" s="7" t="str">
        <f aca="false">IF(E5=F5,"OK","CHECK")</f>
        <v>OK</v>
      </c>
    </row>
    <row r="6" customFormat="false" ht="15" hidden="false" customHeight="false" outlineLevel="0" collapsed="false">
      <c r="A6" s="7" t="s">
        <v>163</v>
      </c>
      <c r="B6" s="7" t="s">
        <v>371</v>
      </c>
      <c r="C6" s="7" t="s">
        <v>372</v>
      </c>
      <c r="D6" s="8" t="n">
        <v>2</v>
      </c>
      <c r="E6" s="7" t="n">
        <f aca="false">D6+1</f>
        <v>3</v>
      </c>
      <c r="F6" s="7" t="n">
        <f aca="false">COUNTIF($A$13:$A$44,A6)</f>
        <v>3</v>
      </c>
      <c r="G6" s="7" t="str">
        <f aca="false">IF(E6=F6,"OK","CHECK")</f>
        <v>OK</v>
      </c>
    </row>
    <row r="7" customFormat="false" ht="15" hidden="false" customHeight="false" outlineLevel="0" collapsed="false">
      <c r="A7" s="7" t="s">
        <v>173</v>
      </c>
      <c r="B7" s="7" t="s">
        <v>373</v>
      </c>
      <c r="C7" s="7" t="s">
        <v>374</v>
      </c>
      <c r="D7" s="8" t="n">
        <v>1</v>
      </c>
      <c r="E7" s="7" t="n">
        <f aca="false">D7+1</f>
        <v>2</v>
      </c>
      <c r="F7" s="7" t="n">
        <f aca="false">COUNTIF($A$13:$A$44,A7)</f>
        <v>2</v>
      </c>
      <c r="G7" s="7" t="str">
        <f aca="false">IF(E7=F7,"OK","CHECK")</f>
        <v>OK</v>
      </c>
    </row>
    <row r="8" customFormat="false" ht="23.85" hidden="false" customHeight="false" outlineLevel="0" collapsed="false">
      <c r="A8" s="7" t="s">
        <v>187</v>
      </c>
      <c r="B8" s="7" t="s">
        <v>375</v>
      </c>
      <c r="C8" s="7" t="s">
        <v>376</v>
      </c>
      <c r="D8" s="8" t="n">
        <v>6</v>
      </c>
      <c r="E8" s="7" t="n">
        <f aca="false">D8+1</f>
        <v>7</v>
      </c>
      <c r="F8" s="7" t="n">
        <f aca="false">COUNTIF($A$13:$A$44,A8)</f>
        <v>7</v>
      </c>
      <c r="G8" s="7" t="str">
        <f aca="false">IF(E8=F8,"OK","CHECK")</f>
        <v>OK</v>
      </c>
    </row>
    <row r="9" customFormat="false" ht="46.25" hidden="false" customHeight="false" outlineLevel="0" collapsed="false">
      <c r="A9" s="7" t="s">
        <v>86</v>
      </c>
      <c r="B9" s="7" t="s">
        <v>377</v>
      </c>
      <c r="C9" s="7" t="s">
        <v>378</v>
      </c>
      <c r="D9" s="8" t="n">
        <v>14</v>
      </c>
      <c r="E9" s="7" t="n">
        <f aca="false">D9+1</f>
        <v>15</v>
      </c>
      <c r="F9" s="7" t="n">
        <f aca="false">COUNTIF($A$13:$A$44,A9)</f>
        <v>15</v>
      </c>
      <c r="G9" s="7" t="str">
        <f aca="false">IF(E9=F9,"OK","CHECK")</f>
        <v>OK</v>
      </c>
    </row>
    <row r="10" customFormat="false" ht="15" hidden="false" customHeight="false" outlineLevel="0" collapsed="false">
      <c r="A10" s="9" t="s">
        <v>12</v>
      </c>
      <c r="B10" s="7"/>
      <c r="C10" s="7"/>
      <c r="D10" s="9" t="n">
        <f aca="false">SUM(D5:D9)</f>
        <v>27</v>
      </c>
      <c r="E10" s="9" t="n">
        <f aca="false">SUM(E5:E9)</f>
        <v>32</v>
      </c>
      <c r="F10" s="9" t="n">
        <f aca="false">SUM(F5:F9)</f>
        <v>32</v>
      </c>
      <c r="G10" s="7"/>
    </row>
    <row r="12" customFormat="false" ht="23.85" hidden="false" customHeight="false" outlineLevel="0" collapsed="false">
      <c r="A12" s="3" t="s">
        <v>218</v>
      </c>
      <c r="B12" s="3" t="s">
        <v>379</v>
      </c>
      <c r="C12" s="3" t="s">
        <v>380</v>
      </c>
      <c r="D12" s="3" t="s">
        <v>381</v>
      </c>
      <c r="E12" s="3" t="s">
        <v>382</v>
      </c>
      <c r="F12" s="3" t="s">
        <v>383</v>
      </c>
      <c r="G12" s="3" t="s">
        <v>384</v>
      </c>
    </row>
    <row r="13" customFormat="false" ht="15" hidden="false" customHeight="false" outlineLevel="0" collapsed="false">
      <c r="A13" s="7" t="s">
        <v>145</v>
      </c>
      <c r="B13" s="7" t="s">
        <v>385</v>
      </c>
      <c r="C13" s="7" t="s">
        <v>386</v>
      </c>
      <c r="D13" s="7" t="s">
        <v>387</v>
      </c>
      <c r="E13" s="7" t="s">
        <v>144</v>
      </c>
      <c r="F13" s="7" t="s">
        <v>388</v>
      </c>
      <c r="G13" s="7" t="s">
        <v>4</v>
      </c>
    </row>
    <row r="14" customFormat="false" ht="15" hidden="false" customHeight="false" outlineLevel="0" collapsed="false">
      <c r="A14" s="7" t="s">
        <v>145</v>
      </c>
      <c r="B14" s="7" t="s">
        <v>389</v>
      </c>
      <c r="C14" s="7" t="s">
        <v>390</v>
      </c>
      <c r="D14" s="7" t="s">
        <v>391</v>
      </c>
      <c r="E14" s="7" t="s">
        <v>151</v>
      </c>
      <c r="F14" s="7" t="s">
        <v>388</v>
      </c>
      <c r="G14" s="7" t="s">
        <v>4</v>
      </c>
    </row>
    <row r="15" customFormat="false" ht="15" hidden="false" customHeight="false" outlineLevel="0" collapsed="false">
      <c r="A15" s="7" t="s">
        <v>145</v>
      </c>
      <c r="B15" s="7" t="s">
        <v>392</v>
      </c>
      <c r="C15" s="7" t="s">
        <v>393</v>
      </c>
      <c r="D15" s="7" t="s">
        <v>394</v>
      </c>
      <c r="E15" s="7" t="s">
        <v>157</v>
      </c>
      <c r="F15" s="7" t="s">
        <v>388</v>
      </c>
      <c r="G15" s="7" t="s">
        <v>4</v>
      </c>
    </row>
    <row r="16" customFormat="false" ht="23.85" hidden="false" customHeight="false" outlineLevel="0" collapsed="false">
      <c r="A16" s="7" t="s">
        <v>145</v>
      </c>
      <c r="B16" s="7" t="s">
        <v>395</v>
      </c>
      <c r="C16" s="7" t="s">
        <v>396</v>
      </c>
      <c r="D16" s="7" t="s">
        <v>397</v>
      </c>
      <c r="E16" s="7" t="s">
        <v>398</v>
      </c>
      <c r="F16" s="7" t="s">
        <v>388</v>
      </c>
      <c r="G16" s="7" t="s">
        <v>4</v>
      </c>
    </row>
    <row r="17" customFormat="false" ht="15" hidden="false" customHeight="false" outlineLevel="0" collapsed="false">
      <c r="A17" s="7" t="s">
        <v>145</v>
      </c>
      <c r="B17" s="7" t="s">
        <v>399</v>
      </c>
      <c r="C17" s="7" t="s">
        <v>400</v>
      </c>
      <c r="D17" s="7" t="s">
        <v>401</v>
      </c>
      <c r="E17" s="7" t="s">
        <v>243</v>
      </c>
      <c r="F17" s="7" t="s">
        <v>402</v>
      </c>
      <c r="G17" s="7" t="s">
        <v>403</v>
      </c>
    </row>
    <row r="18" customFormat="false" ht="15" hidden="false" customHeight="false" outlineLevel="0" collapsed="false">
      <c r="A18" s="7" t="s">
        <v>163</v>
      </c>
      <c r="B18" s="7" t="s">
        <v>385</v>
      </c>
      <c r="C18" s="7" t="s">
        <v>386</v>
      </c>
      <c r="D18" s="7" t="s">
        <v>404</v>
      </c>
      <c r="E18" s="7" t="s">
        <v>162</v>
      </c>
      <c r="F18" s="7" t="s">
        <v>388</v>
      </c>
      <c r="G18" s="7" t="s">
        <v>4</v>
      </c>
    </row>
    <row r="19" customFormat="false" ht="15" hidden="false" customHeight="false" outlineLevel="0" collapsed="false">
      <c r="A19" s="7" t="s">
        <v>163</v>
      </c>
      <c r="B19" s="7" t="s">
        <v>389</v>
      </c>
      <c r="C19" s="7" t="s">
        <v>405</v>
      </c>
      <c r="D19" s="7" t="s">
        <v>406</v>
      </c>
      <c r="E19" s="7" t="s">
        <v>407</v>
      </c>
      <c r="F19" s="7" t="s">
        <v>388</v>
      </c>
      <c r="G19" s="7" t="s">
        <v>4</v>
      </c>
    </row>
    <row r="20" customFormat="false" ht="23.85" hidden="false" customHeight="false" outlineLevel="0" collapsed="false">
      <c r="A20" s="7" t="s">
        <v>163</v>
      </c>
      <c r="B20" s="7" t="s">
        <v>392</v>
      </c>
      <c r="C20" s="7" t="s">
        <v>408</v>
      </c>
      <c r="D20" s="7" t="s">
        <v>409</v>
      </c>
      <c r="E20" s="7" t="s">
        <v>167</v>
      </c>
      <c r="F20" s="7" t="s">
        <v>388</v>
      </c>
      <c r="G20" s="7" t="s">
        <v>4</v>
      </c>
    </row>
    <row r="21" customFormat="false" ht="15" hidden="false" customHeight="false" outlineLevel="0" collapsed="false">
      <c r="A21" s="7" t="s">
        <v>173</v>
      </c>
      <c r="B21" s="7" t="s">
        <v>385</v>
      </c>
      <c r="C21" s="7" t="s">
        <v>410</v>
      </c>
      <c r="D21" s="7" t="s">
        <v>411</v>
      </c>
      <c r="E21" s="7" t="s">
        <v>172</v>
      </c>
      <c r="F21" s="7" t="s">
        <v>388</v>
      </c>
      <c r="G21" s="7" t="s">
        <v>4</v>
      </c>
    </row>
    <row r="22" customFormat="false" ht="15" hidden="false" customHeight="false" outlineLevel="0" collapsed="false">
      <c r="A22" s="7" t="s">
        <v>173</v>
      </c>
      <c r="B22" s="7" t="s">
        <v>389</v>
      </c>
      <c r="C22" s="7" t="s">
        <v>412</v>
      </c>
      <c r="D22" s="7" t="s">
        <v>413</v>
      </c>
      <c r="E22" s="7" t="s">
        <v>179</v>
      </c>
      <c r="F22" s="7" t="s">
        <v>388</v>
      </c>
      <c r="G22" s="7" t="s">
        <v>5</v>
      </c>
    </row>
    <row r="23" customFormat="false" ht="15" hidden="false" customHeight="false" outlineLevel="0" collapsed="false">
      <c r="A23" s="7" t="s">
        <v>187</v>
      </c>
      <c r="B23" s="7" t="s">
        <v>385</v>
      </c>
      <c r="C23" s="7" t="s">
        <v>414</v>
      </c>
      <c r="D23" s="7" t="s">
        <v>415</v>
      </c>
      <c r="E23" s="7" t="s">
        <v>416</v>
      </c>
      <c r="F23" s="7" t="s">
        <v>388</v>
      </c>
      <c r="G23" s="7" t="s">
        <v>4</v>
      </c>
    </row>
    <row r="24" customFormat="false" ht="15" hidden="false" customHeight="false" outlineLevel="0" collapsed="false">
      <c r="A24" s="7" t="s">
        <v>187</v>
      </c>
      <c r="B24" s="7" t="s">
        <v>389</v>
      </c>
      <c r="C24" s="7" t="s">
        <v>386</v>
      </c>
      <c r="D24" s="7" t="s">
        <v>404</v>
      </c>
      <c r="E24" s="7" t="s">
        <v>417</v>
      </c>
      <c r="F24" s="7" t="s">
        <v>388</v>
      </c>
      <c r="G24" s="7" t="s">
        <v>4</v>
      </c>
    </row>
    <row r="25" customFormat="false" ht="15" hidden="false" customHeight="false" outlineLevel="0" collapsed="false">
      <c r="A25" s="7" t="s">
        <v>187</v>
      </c>
      <c r="B25" s="7" t="s">
        <v>392</v>
      </c>
      <c r="C25" s="7" t="s">
        <v>418</v>
      </c>
      <c r="D25" s="7" t="s">
        <v>419</v>
      </c>
      <c r="E25" s="7" t="s">
        <v>420</v>
      </c>
      <c r="F25" s="7" t="s">
        <v>388</v>
      </c>
      <c r="G25" s="7" t="s">
        <v>4</v>
      </c>
    </row>
    <row r="26" customFormat="false" ht="15" hidden="false" customHeight="false" outlineLevel="0" collapsed="false">
      <c r="A26" s="7" t="s">
        <v>187</v>
      </c>
      <c r="B26" s="7" t="s">
        <v>395</v>
      </c>
      <c r="C26" s="7" t="s">
        <v>421</v>
      </c>
      <c r="D26" s="7" t="s">
        <v>422</v>
      </c>
      <c r="E26" s="7" t="s">
        <v>186</v>
      </c>
      <c r="F26" s="7" t="s">
        <v>388</v>
      </c>
      <c r="G26" s="7" t="s">
        <v>4</v>
      </c>
    </row>
    <row r="27" customFormat="false" ht="15" hidden="false" customHeight="false" outlineLevel="0" collapsed="false">
      <c r="A27" s="7" t="s">
        <v>187</v>
      </c>
      <c r="B27" s="7" t="s">
        <v>399</v>
      </c>
      <c r="C27" s="7" t="s">
        <v>423</v>
      </c>
      <c r="D27" s="7" t="s">
        <v>424</v>
      </c>
      <c r="E27" s="7" t="s">
        <v>197</v>
      </c>
      <c r="F27" s="7" t="s">
        <v>388</v>
      </c>
      <c r="G27" s="7" t="s">
        <v>4</v>
      </c>
    </row>
    <row r="28" customFormat="false" ht="23.85" hidden="false" customHeight="false" outlineLevel="0" collapsed="false">
      <c r="A28" s="7" t="s">
        <v>187</v>
      </c>
      <c r="B28" s="7" t="s">
        <v>425</v>
      </c>
      <c r="C28" s="7" t="s">
        <v>426</v>
      </c>
      <c r="D28" s="7" t="s">
        <v>427</v>
      </c>
      <c r="E28" s="7" t="s">
        <v>193</v>
      </c>
      <c r="F28" s="7" t="s">
        <v>388</v>
      </c>
      <c r="G28" s="7" t="s">
        <v>4</v>
      </c>
    </row>
    <row r="29" customFormat="false" ht="15" hidden="false" customHeight="false" outlineLevel="0" collapsed="false">
      <c r="A29" s="7" t="s">
        <v>187</v>
      </c>
      <c r="B29" s="7" t="s">
        <v>428</v>
      </c>
      <c r="C29" s="7" t="s">
        <v>429</v>
      </c>
      <c r="D29" s="7" t="s">
        <v>430</v>
      </c>
      <c r="E29" s="7" t="s">
        <v>431</v>
      </c>
      <c r="F29" s="7" t="s">
        <v>388</v>
      </c>
      <c r="G29" s="7" t="s">
        <v>4</v>
      </c>
    </row>
    <row r="30" customFormat="false" ht="15" hidden="false" customHeight="false" outlineLevel="0" collapsed="false">
      <c r="A30" s="7" t="s">
        <v>86</v>
      </c>
      <c r="B30" s="7" t="s">
        <v>385</v>
      </c>
      <c r="C30" s="7" t="s">
        <v>414</v>
      </c>
      <c r="D30" s="7" t="s">
        <v>415</v>
      </c>
      <c r="E30" s="7" t="s">
        <v>105</v>
      </c>
      <c r="F30" s="7" t="s">
        <v>388</v>
      </c>
      <c r="G30" s="7" t="s">
        <v>4</v>
      </c>
    </row>
    <row r="31" customFormat="false" ht="15" hidden="false" customHeight="false" outlineLevel="0" collapsed="false">
      <c r="A31" s="7" t="s">
        <v>86</v>
      </c>
      <c r="B31" s="7" t="s">
        <v>389</v>
      </c>
      <c r="C31" s="7" t="s">
        <v>386</v>
      </c>
      <c r="D31" s="7" t="s">
        <v>404</v>
      </c>
      <c r="E31" s="7" t="s">
        <v>201</v>
      </c>
      <c r="F31" s="7" t="s">
        <v>388</v>
      </c>
      <c r="G31" s="7" t="s">
        <v>4</v>
      </c>
    </row>
    <row r="32" customFormat="false" ht="15" hidden="false" customHeight="false" outlineLevel="0" collapsed="false">
      <c r="A32" s="7" t="s">
        <v>86</v>
      </c>
      <c r="B32" s="7" t="s">
        <v>392</v>
      </c>
      <c r="C32" s="7" t="s">
        <v>432</v>
      </c>
      <c r="D32" s="7" t="s">
        <v>433</v>
      </c>
      <c r="E32" s="7" t="s">
        <v>434</v>
      </c>
      <c r="F32" s="7" t="s">
        <v>388</v>
      </c>
      <c r="G32" s="7" t="s">
        <v>4</v>
      </c>
    </row>
    <row r="33" customFormat="false" ht="15" hidden="false" customHeight="false" outlineLevel="0" collapsed="false">
      <c r="A33" s="7" t="s">
        <v>86</v>
      </c>
      <c r="B33" s="7" t="s">
        <v>395</v>
      </c>
      <c r="C33" s="7" t="s">
        <v>435</v>
      </c>
      <c r="D33" s="7" t="s">
        <v>436</v>
      </c>
      <c r="E33" s="7" t="s">
        <v>124</v>
      </c>
      <c r="F33" s="7" t="s">
        <v>388</v>
      </c>
      <c r="G33" s="7" t="s">
        <v>4</v>
      </c>
    </row>
    <row r="34" customFormat="false" ht="15" hidden="false" customHeight="false" outlineLevel="0" collapsed="false">
      <c r="A34" s="7" t="s">
        <v>86</v>
      </c>
      <c r="B34" s="7" t="s">
        <v>399</v>
      </c>
      <c r="C34" s="7" t="s">
        <v>437</v>
      </c>
      <c r="D34" s="7" t="s">
        <v>438</v>
      </c>
      <c r="E34" s="7" t="s">
        <v>129</v>
      </c>
      <c r="F34" s="7" t="s">
        <v>388</v>
      </c>
      <c r="G34" s="7" t="s">
        <v>4</v>
      </c>
    </row>
    <row r="35" customFormat="false" ht="15" hidden="false" customHeight="false" outlineLevel="0" collapsed="false">
      <c r="A35" s="7" t="s">
        <v>86</v>
      </c>
      <c r="B35" s="7" t="s">
        <v>425</v>
      </c>
      <c r="C35" s="7" t="s">
        <v>439</v>
      </c>
      <c r="D35" s="7" t="s">
        <v>440</v>
      </c>
      <c r="E35" s="7" t="s">
        <v>441</v>
      </c>
      <c r="F35" s="7" t="s">
        <v>388</v>
      </c>
      <c r="G35" s="7" t="s">
        <v>4</v>
      </c>
    </row>
    <row r="36" customFormat="false" ht="15" hidden="false" customHeight="false" outlineLevel="0" collapsed="false">
      <c r="A36" s="7" t="s">
        <v>86</v>
      </c>
      <c r="B36" s="7" t="s">
        <v>428</v>
      </c>
      <c r="C36" s="7" t="s">
        <v>442</v>
      </c>
      <c r="D36" s="7" t="s">
        <v>443</v>
      </c>
      <c r="E36" s="7" t="s">
        <v>206</v>
      </c>
      <c r="F36" s="7" t="s">
        <v>388</v>
      </c>
      <c r="G36" s="7" t="s">
        <v>4</v>
      </c>
    </row>
    <row r="37" customFormat="false" ht="15" hidden="false" customHeight="false" outlineLevel="0" collapsed="false">
      <c r="A37" s="7" t="s">
        <v>86</v>
      </c>
      <c r="B37" s="7" t="s">
        <v>444</v>
      </c>
      <c r="C37" s="7" t="s">
        <v>445</v>
      </c>
      <c r="D37" s="7" t="s">
        <v>446</v>
      </c>
      <c r="E37" s="7" t="s">
        <v>211</v>
      </c>
      <c r="F37" s="7" t="s">
        <v>388</v>
      </c>
      <c r="G37" s="7" t="s">
        <v>4</v>
      </c>
    </row>
    <row r="38" customFormat="false" ht="23.85" hidden="false" customHeight="false" outlineLevel="0" collapsed="false">
      <c r="A38" s="7" t="s">
        <v>86</v>
      </c>
      <c r="B38" s="7" t="s">
        <v>447</v>
      </c>
      <c r="C38" s="7" t="s">
        <v>448</v>
      </c>
      <c r="D38" s="7" t="s">
        <v>438</v>
      </c>
      <c r="E38" s="7" t="s">
        <v>449</v>
      </c>
      <c r="F38" s="7" t="s">
        <v>388</v>
      </c>
      <c r="G38" s="7" t="s">
        <v>4</v>
      </c>
    </row>
    <row r="39" customFormat="false" ht="23.85" hidden="false" customHeight="false" outlineLevel="0" collapsed="false">
      <c r="A39" s="7" t="s">
        <v>86</v>
      </c>
      <c r="B39" s="7" t="s">
        <v>450</v>
      </c>
      <c r="C39" s="7" t="s">
        <v>451</v>
      </c>
      <c r="D39" s="7" t="s">
        <v>452</v>
      </c>
      <c r="E39" s="7" t="s">
        <v>453</v>
      </c>
      <c r="F39" s="7" t="s">
        <v>388</v>
      </c>
      <c r="G39" s="7" t="s">
        <v>4</v>
      </c>
    </row>
    <row r="40" customFormat="false" ht="15" hidden="false" customHeight="false" outlineLevel="0" collapsed="false">
      <c r="A40" s="7" t="s">
        <v>86</v>
      </c>
      <c r="B40" s="7" t="s">
        <v>454</v>
      </c>
      <c r="C40" s="7" t="s">
        <v>455</v>
      </c>
      <c r="D40" s="7" t="s">
        <v>452</v>
      </c>
      <c r="E40" s="7" t="s">
        <v>456</v>
      </c>
      <c r="F40" s="7" t="s">
        <v>388</v>
      </c>
      <c r="G40" s="7" t="s">
        <v>4</v>
      </c>
    </row>
    <row r="41" customFormat="false" ht="23.85" hidden="false" customHeight="false" outlineLevel="0" collapsed="false">
      <c r="A41" s="7" t="s">
        <v>86</v>
      </c>
      <c r="B41" s="7" t="s">
        <v>457</v>
      </c>
      <c r="C41" s="7" t="s">
        <v>458</v>
      </c>
      <c r="D41" s="7" t="s">
        <v>438</v>
      </c>
      <c r="E41" s="7" t="s">
        <v>459</v>
      </c>
      <c r="F41" s="7" t="s">
        <v>388</v>
      </c>
      <c r="G41" s="7" t="s">
        <v>4</v>
      </c>
    </row>
    <row r="42" customFormat="false" ht="23.85" hidden="false" customHeight="false" outlineLevel="0" collapsed="false">
      <c r="A42" s="7" t="s">
        <v>86</v>
      </c>
      <c r="B42" s="7" t="s">
        <v>460</v>
      </c>
      <c r="C42" s="7" t="s">
        <v>461</v>
      </c>
      <c r="D42" s="7" t="s">
        <v>462</v>
      </c>
      <c r="E42" s="7" t="s">
        <v>463</v>
      </c>
      <c r="F42" s="7" t="s">
        <v>388</v>
      </c>
      <c r="G42" s="7" t="s">
        <v>4</v>
      </c>
    </row>
    <row r="43" customFormat="false" ht="15" hidden="false" customHeight="false" outlineLevel="0" collapsed="false">
      <c r="A43" s="7" t="s">
        <v>86</v>
      </c>
      <c r="B43" s="7" t="s">
        <v>464</v>
      </c>
      <c r="C43" s="7" t="s">
        <v>465</v>
      </c>
      <c r="D43" s="7" t="s">
        <v>466</v>
      </c>
      <c r="E43" s="7" t="s">
        <v>243</v>
      </c>
      <c r="F43" s="7" t="s">
        <v>402</v>
      </c>
      <c r="G43" s="7" t="s">
        <v>403</v>
      </c>
    </row>
    <row r="44" customFormat="false" ht="15" hidden="false" customHeight="false" outlineLevel="0" collapsed="false">
      <c r="A44" s="7" t="s">
        <v>86</v>
      </c>
      <c r="B44" s="7" t="s">
        <v>467</v>
      </c>
      <c r="C44" s="7" t="s">
        <v>468</v>
      </c>
      <c r="D44" s="7" t="s">
        <v>469</v>
      </c>
      <c r="E44" s="7" t="s">
        <v>243</v>
      </c>
      <c r="F44" s="7" t="s">
        <v>402</v>
      </c>
      <c r="G44" s="7" t="s">
        <v>403</v>
      </c>
    </row>
  </sheetData>
  <conditionalFormatting sqref="G13:G44">
    <cfRule type="cellIs" priority="2" operator="equal" aboveAverage="0" equalAverage="0" bottom="0" percent="0" rank="0" text="" dxfId="7">
      <formula>"Fail"</formula>
    </cfRule>
  </conditionalFormatting>
  <conditionalFormatting sqref="F13:F44">
    <cfRule type="cellIs" priority="3" operator="equal" aboveAverage="0" equalAverage="0" bottom="0" percent="0" rank="0" text="" dxfId="8">
      <formula>"No test"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52"/>
    <col collapsed="false" customWidth="true" hidden="false" outlineLevel="0" max="10" min="10" style="0" width="46"/>
    <col collapsed="false" customWidth="true" hidden="false" outlineLevel="0" max="11" min="11" style="0" width="44"/>
    <col collapsed="false" customWidth="true" hidden="false" outlineLevel="0" max="13" min="12" style="0" width="16"/>
  </cols>
  <sheetData>
    <row r="1" customFormat="false" ht="17.35" hidden="false" customHeight="false" outlineLevel="0" collapsed="false">
      <c r="A1" s="1" t="s">
        <v>470</v>
      </c>
    </row>
    <row r="3" customFormat="false" ht="23.85" hidden="false" customHeight="false" outlineLevel="0" collapsed="false">
      <c r="A3" s="3" t="s">
        <v>57</v>
      </c>
      <c r="B3" s="3" t="s">
        <v>471</v>
      </c>
      <c r="C3" s="3" t="s">
        <v>14</v>
      </c>
      <c r="D3" s="3" t="s">
        <v>50</v>
      </c>
      <c r="E3" s="3" t="s">
        <v>472</v>
      </c>
      <c r="F3" s="3" t="s">
        <v>51</v>
      </c>
      <c r="G3" s="3" t="s">
        <v>473</v>
      </c>
      <c r="H3" s="3" t="s">
        <v>54</v>
      </c>
      <c r="I3" s="3" t="s">
        <v>474</v>
      </c>
      <c r="J3" s="3" t="s">
        <v>475</v>
      </c>
      <c r="K3" s="3" t="s">
        <v>476</v>
      </c>
      <c r="L3" s="3" t="s">
        <v>59</v>
      </c>
      <c r="M3" s="3" t="s">
        <v>477</v>
      </c>
    </row>
    <row r="4" customFormat="false" ht="35.05" hidden="false" customHeight="false" outlineLevel="0" collapsed="false">
      <c r="A4" s="7" t="s">
        <v>185</v>
      </c>
      <c r="B4" s="7" t="s">
        <v>478</v>
      </c>
      <c r="C4" s="7" t="s">
        <v>17</v>
      </c>
      <c r="D4" s="7" t="s">
        <v>385</v>
      </c>
      <c r="E4" s="7" t="s">
        <v>479</v>
      </c>
      <c r="F4" s="7" t="s">
        <v>480</v>
      </c>
      <c r="G4" s="7" t="s">
        <v>481</v>
      </c>
      <c r="H4" s="7" t="s">
        <v>482</v>
      </c>
      <c r="I4" s="7" t="s">
        <v>483</v>
      </c>
      <c r="J4" s="7" t="s">
        <v>484</v>
      </c>
      <c r="K4" s="7" t="s">
        <v>485</v>
      </c>
      <c r="L4" s="6" t="s">
        <v>486</v>
      </c>
      <c r="M4" s="6" t="s">
        <v>7</v>
      </c>
    </row>
    <row r="5" customFormat="false" ht="23.85" hidden="false" customHeight="false" outlineLevel="0" collapsed="false">
      <c r="A5" s="7" t="s">
        <v>487</v>
      </c>
      <c r="B5" s="7" t="s">
        <v>488</v>
      </c>
      <c r="C5" s="7" t="s">
        <v>18</v>
      </c>
      <c r="D5" s="7" t="s">
        <v>389</v>
      </c>
      <c r="E5" s="7" t="s">
        <v>489</v>
      </c>
      <c r="F5" s="7" t="s">
        <v>490</v>
      </c>
      <c r="G5" s="7" t="s">
        <v>491</v>
      </c>
      <c r="H5" s="7" t="s">
        <v>492</v>
      </c>
      <c r="I5" s="7" t="s">
        <v>493</v>
      </c>
      <c r="J5" s="7" t="s">
        <v>494</v>
      </c>
      <c r="K5" s="7" t="s">
        <v>495</v>
      </c>
      <c r="L5" s="6" t="s">
        <v>486</v>
      </c>
      <c r="M5" s="6" t="s">
        <v>7</v>
      </c>
    </row>
    <row r="6" customFormat="false" ht="35.05" hidden="false" customHeight="false" outlineLevel="0" collapsed="false">
      <c r="A6" s="7" t="s">
        <v>496</v>
      </c>
      <c r="B6" s="7" t="s">
        <v>497</v>
      </c>
      <c r="C6" s="7" t="s">
        <v>19</v>
      </c>
      <c r="D6" s="7" t="s">
        <v>392</v>
      </c>
      <c r="E6" s="7" t="s">
        <v>498</v>
      </c>
      <c r="F6" s="7" t="s">
        <v>499</v>
      </c>
      <c r="G6" s="7" t="s">
        <v>500</v>
      </c>
      <c r="H6" s="7" t="s">
        <v>501</v>
      </c>
      <c r="I6" s="7" t="s">
        <v>502</v>
      </c>
      <c r="J6" s="7" t="s">
        <v>503</v>
      </c>
      <c r="K6" s="7" t="s">
        <v>504</v>
      </c>
      <c r="L6" s="6" t="s">
        <v>486</v>
      </c>
      <c r="M6" s="6" t="s">
        <v>7</v>
      </c>
    </row>
    <row r="7" customFormat="false" ht="35.05" hidden="false" customHeight="false" outlineLevel="0" collapsed="false">
      <c r="A7" s="7" t="s">
        <v>505</v>
      </c>
      <c r="B7" s="7" t="s">
        <v>506</v>
      </c>
      <c r="C7" s="7" t="s">
        <v>19</v>
      </c>
      <c r="D7" s="7" t="s">
        <v>392</v>
      </c>
      <c r="E7" s="7" t="s">
        <v>507</v>
      </c>
      <c r="F7" s="7" t="s">
        <v>508</v>
      </c>
      <c r="G7" s="7" t="s">
        <v>509</v>
      </c>
      <c r="H7" s="7" t="s">
        <v>510</v>
      </c>
      <c r="I7" s="7" t="s">
        <v>511</v>
      </c>
      <c r="J7" s="7" t="s">
        <v>512</v>
      </c>
      <c r="K7" s="7" t="s">
        <v>513</v>
      </c>
      <c r="L7" s="6" t="s">
        <v>486</v>
      </c>
      <c r="M7" s="6" t="s">
        <v>7</v>
      </c>
    </row>
    <row r="8" customFormat="false" ht="35.05" hidden="false" customHeight="false" outlineLevel="0" collapsed="false">
      <c r="A8" s="7" t="s">
        <v>514</v>
      </c>
      <c r="B8" s="7" t="s">
        <v>515</v>
      </c>
      <c r="C8" s="7" t="s">
        <v>18</v>
      </c>
      <c r="D8" s="7" t="s">
        <v>389</v>
      </c>
      <c r="E8" s="7" t="s">
        <v>516</v>
      </c>
      <c r="F8" s="7" t="s">
        <v>517</v>
      </c>
      <c r="G8" s="7" t="s">
        <v>518</v>
      </c>
      <c r="H8" s="7" t="s">
        <v>519</v>
      </c>
      <c r="I8" s="7" t="s">
        <v>520</v>
      </c>
      <c r="J8" s="7" t="s">
        <v>521</v>
      </c>
      <c r="K8" s="7" t="s">
        <v>522</v>
      </c>
      <c r="L8" s="6" t="s">
        <v>486</v>
      </c>
      <c r="M8" s="6" t="s">
        <v>7</v>
      </c>
    </row>
    <row r="9" customFormat="false" ht="23.85" hidden="false" customHeight="false" outlineLevel="0" collapsed="false">
      <c r="A9" s="7" t="s">
        <v>523</v>
      </c>
      <c r="B9" s="7" t="s">
        <v>524</v>
      </c>
      <c r="C9" s="7" t="s">
        <v>18</v>
      </c>
      <c r="D9" s="7" t="s">
        <v>389</v>
      </c>
      <c r="E9" s="7" t="s">
        <v>525</v>
      </c>
      <c r="F9" s="7" t="s">
        <v>526</v>
      </c>
      <c r="G9" s="7" t="s">
        <v>527</v>
      </c>
      <c r="H9" s="7" t="s">
        <v>528</v>
      </c>
      <c r="I9" s="7" t="s">
        <v>529</v>
      </c>
      <c r="J9" s="7" t="s">
        <v>530</v>
      </c>
      <c r="K9" s="7" t="s">
        <v>531</v>
      </c>
      <c r="L9" s="6" t="s">
        <v>486</v>
      </c>
      <c r="M9" s="6" t="s">
        <v>7</v>
      </c>
    </row>
    <row r="10" customFormat="false" ht="35.05" hidden="false" customHeight="false" outlineLevel="0" collapsed="false">
      <c r="A10" s="7" t="s">
        <v>532</v>
      </c>
      <c r="B10" s="7" t="s">
        <v>533</v>
      </c>
      <c r="C10" s="7" t="s">
        <v>19</v>
      </c>
      <c r="D10" s="7" t="s">
        <v>392</v>
      </c>
      <c r="E10" s="7" t="s">
        <v>534</v>
      </c>
      <c r="F10" s="7" t="s">
        <v>535</v>
      </c>
      <c r="G10" s="7" t="s">
        <v>509</v>
      </c>
      <c r="H10" s="7" t="s">
        <v>536</v>
      </c>
      <c r="I10" s="7" t="s">
        <v>537</v>
      </c>
      <c r="J10" s="7" t="s">
        <v>538</v>
      </c>
      <c r="K10" s="7" t="s">
        <v>539</v>
      </c>
      <c r="L10" s="6" t="s">
        <v>486</v>
      </c>
      <c r="M10" s="6" t="s">
        <v>7</v>
      </c>
    </row>
    <row r="11" customFormat="false" ht="46.25" hidden="false" customHeight="false" outlineLevel="0" collapsed="false">
      <c r="A11" s="7" t="s">
        <v>540</v>
      </c>
      <c r="B11" s="7" t="s">
        <v>541</v>
      </c>
      <c r="C11" s="7" t="s">
        <v>17</v>
      </c>
      <c r="D11" s="7" t="s">
        <v>385</v>
      </c>
      <c r="E11" s="7" t="s">
        <v>542</v>
      </c>
      <c r="F11" s="7" t="s">
        <v>543</v>
      </c>
      <c r="G11" s="7" t="s">
        <v>544</v>
      </c>
      <c r="H11" s="7" t="s">
        <v>545</v>
      </c>
      <c r="I11" s="7" t="s">
        <v>546</v>
      </c>
      <c r="J11" s="7" t="s">
        <v>547</v>
      </c>
      <c r="K11" s="7" t="s">
        <v>548</v>
      </c>
      <c r="L11" s="6" t="s">
        <v>486</v>
      </c>
      <c r="M11" s="6" t="s">
        <v>7</v>
      </c>
    </row>
    <row r="12" customFormat="false" ht="23.85" hidden="false" customHeight="false" outlineLevel="0" collapsed="false">
      <c r="A12" s="7" t="s">
        <v>549</v>
      </c>
      <c r="B12" s="7" t="s">
        <v>550</v>
      </c>
      <c r="C12" s="7" t="s">
        <v>19</v>
      </c>
      <c r="D12" s="7" t="s">
        <v>392</v>
      </c>
      <c r="E12" s="7" t="s">
        <v>551</v>
      </c>
      <c r="F12" s="7" t="s">
        <v>552</v>
      </c>
      <c r="G12" s="7" t="s">
        <v>553</v>
      </c>
      <c r="H12" s="7" t="s">
        <v>554</v>
      </c>
      <c r="I12" s="7" t="s">
        <v>555</v>
      </c>
      <c r="J12" s="7" t="s">
        <v>556</v>
      </c>
      <c r="K12" s="7" t="s">
        <v>557</v>
      </c>
      <c r="L12" s="6" t="s">
        <v>486</v>
      </c>
      <c r="M12" s="6" t="s">
        <v>7</v>
      </c>
    </row>
    <row r="13" customFormat="false" ht="35.05" hidden="false" customHeight="false" outlineLevel="0" collapsed="false">
      <c r="A13" s="7" t="s">
        <v>558</v>
      </c>
      <c r="B13" s="7" t="s">
        <v>559</v>
      </c>
      <c r="C13" s="7" t="s">
        <v>19</v>
      </c>
      <c r="D13" s="7" t="s">
        <v>392</v>
      </c>
      <c r="E13" s="7" t="s">
        <v>560</v>
      </c>
      <c r="F13" s="7" t="s">
        <v>561</v>
      </c>
      <c r="G13" s="7" t="s">
        <v>562</v>
      </c>
      <c r="H13" s="7" t="s">
        <v>563</v>
      </c>
      <c r="I13" s="7" t="s">
        <v>564</v>
      </c>
      <c r="J13" s="7" t="s">
        <v>565</v>
      </c>
      <c r="K13" s="7" t="s">
        <v>566</v>
      </c>
      <c r="L13" s="6" t="s">
        <v>567</v>
      </c>
      <c r="M13" s="6" t="s">
        <v>7</v>
      </c>
    </row>
  </sheetData>
  <dataValidations count="2">
    <dataValidation allowBlank="false" errorStyle="stop" operator="between" showDropDown="false" showErrorMessage="false" showInputMessage="false" sqref="L4:L13" type="list">
      <formula1>"Open (predicted),Confirmed,Not reproducible,Observation,Fixed"</formula1>
      <formula2>0</formula2>
    </dataValidation>
    <dataValidation allowBlank="false" errorStyle="stop" operator="between" showDropDown="false" showErrorMessage="false" showInputMessage="false" sqref="M4:M13" type="list">
      <formula1>"Not run,Yes,No"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2026-10-09T11:57:32Z</dcterms:created>
  <dc:creator>openpyxl</dc:creator>
  <dc:description/>
  <dc:language>en-US</dc:language>
  <cp:lastModifiedBy/>
  <dcterms:modified xsi:type="dcterms:W3CDTF">2026-10-09T11:57:33Z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