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agram 1 Paths" sheetId="2" state="visible" r:id="rId4"/>
    <sheet name="Diagram 2 Paths" sheetId="3" state="visible" r:id="rId5"/>
    <sheet name="Node 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<sst xmlns="http://schemas.openxmlformats.org/spreadsheetml/2006/main" count="1172" uniqueCount="477">
  <si>
    <t xml:space="preserve">Basis path testing: ProgramOwnerController (12 of 14 action methods, two flowcharts of 6 actions)</t>
  </si>
  <si>
    <t xml:space="preserve">V(G) = number of decision nodes + 1, cross-checked with V(G) = E - N + 2 on the drawn graph. Decision nodes: each if, each &amp;&amp; and ||, each ?: and each catch. Null-coalescing (??) and ?. are not counted.</t>
  </si>
  <si>
    <t xml:space="preserve">Diagram</t>
  </si>
  <si>
    <t xml:space="preserve">Action</t>
  </si>
  <si>
    <t xml:space="preserve">Source lines</t>
  </si>
  <si>
    <t xml:space="preserve">Decision nodes (P)</t>
  </si>
  <si>
    <t xml:space="preserve">V(G) = P + 1</t>
  </si>
  <si>
    <t xml:space="preserve">Edges (E)</t>
  </si>
  <si>
    <t xml:space="preserve">Nodes (N, incl. End)</t>
  </si>
  <si>
    <t xml:space="preserve">V(G) = E - N + 2</t>
  </si>
  <si>
    <t xml:space="preserve">Check</t>
  </si>
  <si>
    <t xml:space="preserve">Paths listed</t>
  </si>
  <si>
    <t xml:space="preserve">Passing test</t>
  </si>
  <si>
    <t xml:space="preserve">No test</t>
  </si>
  <si>
    <t xml:space="preserve">Infeasible</t>
  </si>
  <si>
    <t xml:space="preserve">Failing test</t>
  </si>
  <si>
    <t xml:space="preserve">MyPrograms</t>
  </si>
  <si>
    <t xml:space="preserve">33-51</t>
  </si>
  <si>
    <t xml:space="preserve">Create (POST)</t>
  </si>
  <si>
    <t xml:space="preserve">69-93</t>
  </si>
  <si>
    <t xml:space="preserve">Edit (GET)</t>
  </si>
  <si>
    <t xml:space="preserve">97-113</t>
  </si>
  <si>
    <t xml:space="preserve">Edit (POST)</t>
  </si>
  <si>
    <t xml:space="preserve">119-142</t>
  </si>
  <si>
    <t xml:space="preserve">ManageCandidates (GET)</t>
  </si>
  <si>
    <t xml:space="preserve">146-156</t>
  </si>
  <si>
    <t xml:space="preserve">AddCandidate (POST)</t>
  </si>
  <si>
    <t xml:space="preserve">162-237</t>
  </si>
  <si>
    <t xml:space="preserve">DeleteCandidate (POST)</t>
  </si>
  <si>
    <t xml:space="preserve">243-266</t>
  </si>
  <si>
    <t xml:space="preserve">Results (GET)</t>
  </si>
  <si>
    <t xml:space="preserve">271-286</t>
  </si>
  <si>
    <t xml:space="preserve">ManageVoters (GET)</t>
  </si>
  <si>
    <t xml:space="preserve">291-310</t>
  </si>
  <si>
    <t xml:space="preserve">RegisterVoter (POST)</t>
  </si>
  <si>
    <t xml:space="preserve">330-348</t>
  </si>
  <si>
    <t xml:space="preserve">RemoveVoter (POST)</t>
  </si>
  <si>
    <t xml:space="preserve">354-367</t>
  </si>
  <si>
    <t xml:space="preserve">Delete (POST)</t>
  </si>
  <si>
    <t xml:space="preserve">373-399</t>
  </si>
  <si>
    <t xml:space="preserve">Total (12 actions)</t>
  </si>
  <si>
    <t xml:space="preserve">Subtotal V(G):</t>
  </si>
  <si>
    <t xml:space="preserve">Diagram 1</t>
  </si>
  <si>
    <t xml:space="preserve">Diagram 2</t>
  </si>
  <si>
    <t xml:space="preserve">Actions not drawn (left out):</t>
  </si>
  <si>
    <t xml:space="preserve">Create (GET), lines 55-64: no decisions, V(G) = 1 (one path).</t>
  </si>
  <si>
    <t xml:space="preserve">RegisterVoter (GET), lines 314-325: same structure as ManageVoters (3 decisions), V(G) = 4.</t>
  </si>
  <si>
    <t xml:space="preserve">The controller has 14 action methods (11 distinct names; Create, Edit and RegisterVoter each have a GET and a POST). 12 are drawn.</t>
  </si>
  <si>
    <t xml:space="preserve">Results use the latest runs in nondefect.trx and defect.trx. "No test" means no xUnit test exercises that path today.</t>
  </si>
  <si>
    <t xml:space="preserve">Diagram 1: independent paths per action (basis set; node numbers match BasisPath_Diagram1.png and the Node Legend sheet)</t>
  </si>
  <si>
    <t xml:space="preserve">Path</t>
  </si>
  <si>
    <t xml:space="preserve">Node sequence</t>
  </si>
  <si>
    <t xml:space="preserve">Condition outcomes</t>
  </si>
  <si>
    <t xml:space="preserve">Expected result</t>
  </si>
  <si>
    <t xml:space="preserve">xUnit method(s) covering the path</t>
  </si>
  <si>
    <t xml:space="preserve">Result</t>
  </si>
  <si>
    <t xml:space="preserve">Note</t>
  </si>
  <si>
    <t xml:space="preserve">P1</t>
  </si>
  <si>
    <t xml:space="preserve">1 → 2(T) → 3 → End</t>
  </si>
  <si>
    <t xml:space="preserve">userId empty</t>
  </si>
  <si>
    <t xml:space="preserve">UnauthorizedResult</t>
  </si>
  <si>
    <t xml:space="preserve">ProgramOwnerControllerTests.MyPrograms_WithoutUserId_ReturnsUnauthorized</t>
  </si>
  <si>
    <t xml:space="preserve">Pass</t>
  </si>
  <si>
    <t xml:space="preserve">P2</t>
  </si>
  <si>
    <t xml:space="preserve">1 → 2(F) → 4 → 5 → 6 → End</t>
  </si>
  <si>
    <t xml:space="preserve">userId present</t>
  </si>
  <si>
    <t xml:space="preserve">View with only this owner's programs</t>
  </si>
  <si>
    <t xml:space="preserve">ProgramOwnerControllerTests.MyPrograms_ReturnsOnlyCurrentOwnersPrograms</t>
  </si>
  <si>
    <t xml:space="preserve">model invalid</t>
  </si>
  <si>
    <t xml:space="preserve">View, ValuesAreUtc=false</t>
  </si>
  <si>
    <t xml:space="preserve">ProgramOwnerControllerTests.CreatePost_InvalidModel_ReturnsLocalInputMode</t>
  </si>
  <si>
    <t xml:space="preserve">1 → 2(F) → 4 → 5(T) → 6(T) → 7 → 8 → End</t>
  </si>
  <si>
    <t xml:space="preserve">service fails, message given</t>
  </si>
  <si>
    <t xml:space="preserve">View with model error</t>
  </si>
  <si>
    <t xml:space="preserve">ProgramOwnerControllerTests.CreatePost_ServiceFailure_ReturnsValidationError</t>
  </si>
  <si>
    <t xml:space="preserve">P3</t>
  </si>
  <si>
    <t xml:space="preserve">1 → 2(F) → 4 → 5(T) → 6(F) → 8 → End</t>
  </si>
  <si>
    <t xml:space="preserve">service fails, no message</t>
  </si>
  <si>
    <t xml:space="preserve">View, no model error</t>
  </si>
  <si>
    <t xml:space="preserve">ProgramOwnerBoundaryTests.CreatePost_ServiceFailureWithoutMessage_ReturnsFormWithoutModelError</t>
  </si>
  <si>
    <t xml:space="preserve">P4</t>
  </si>
  <si>
    <t xml:space="preserve">1 → 2(F) → 4 → 5(F) → 9(T) → 10 → 11 → End</t>
  </si>
  <si>
    <t xml:space="preserve">success, IsPublished = true</t>
  </si>
  <si>
    <t xml:space="preserve">Redirect + PublishedLink stored</t>
  </si>
  <si>
    <t xml:space="preserve">-</t>
  </si>
  <si>
    <t xml:space="preserve">No test: CreatePost_PublishedProgram_RedirectsToMyPrograms uses an unpublished program</t>
  </si>
  <si>
    <t xml:space="preserve">P5</t>
  </si>
  <si>
    <t xml:space="preserve">1 → 2(F) → 4 → 5(F) → 9(F) → 11 → End</t>
  </si>
  <si>
    <t xml:space="preserve">success, IsPublished = false</t>
  </si>
  <si>
    <t xml:space="preserve">Redirect to MyPrograms</t>
  </si>
  <si>
    <t xml:space="preserve">ProgramOwnerControllerTests.CreatePost_PublishedProgram_RedirectsToMyPrograms</t>
  </si>
  <si>
    <t xml:space="preserve">Test name says "Published" but the model is unpublished</t>
  </si>
  <si>
    <t xml:space="preserve">program not found</t>
  </si>
  <si>
    <t xml:space="preserve">NotFound</t>
  </si>
  <si>
    <t xml:space="preserve">ProgramOwnerControllerTests.EditGet_MissingProgram_ReturnsNotFound</t>
  </si>
  <si>
    <t xml:space="preserve">1 → 2(F) → 4(T) → 5(T) → 6 → End</t>
  </si>
  <si>
    <t xml:space="preserve">not owner, not admin</t>
  </si>
  <si>
    <t xml:space="preserve">Forbid</t>
  </si>
  <si>
    <t xml:space="preserve">ProgramOwnerControllerTests.EditGet_EnforcesOwnershipOrAdmin(admin: False, allowed: False)</t>
  </si>
  <si>
    <t xml:space="preserve">1 → 2(F) → 4(F) → 7 → 8 → End</t>
  </si>
  <si>
    <t xml:space="preserve">current user is owner</t>
  </si>
  <si>
    <t xml:space="preserve">View(form)</t>
  </si>
  <si>
    <t xml:space="preserve">No test: both ownership tests use a different user id</t>
  </si>
  <si>
    <t xml:space="preserve">1 → 2(F) → 4(T) → 5(F) → 7 → 8 → End</t>
  </si>
  <si>
    <t xml:space="preserve">not owner, is admin</t>
  </si>
  <si>
    <t xml:space="preserve">ProgramOwnerControllerTests.EditGet_EnforcesOwnershipOrAdmin(admin: True, allowed: True)</t>
  </si>
  <si>
    <t xml:space="preserve">1(T) → 2 → End</t>
  </si>
  <si>
    <t xml:space="preserve">id differs from model.Id</t>
  </si>
  <si>
    <t xml:space="preserve">ProgramOwnerControllerTests.EditPost_IdMismatch_ReturnsNotFound</t>
  </si>
  <si>
    <t xml:space="preserve">1(F) → 3 → 4(T) → 5 → End</t>
  </si>
  <si>
    <t xml:space="preserve">ProgramOwnerControllerTests.EditPost_InvalidModel_ReturnsForm</t>
  </si>
  <si>
    <t xml:space="preserve">1(F) → 3 → 4(F) → 6 → 7(T) → 8(T) → 9 → 10 → End</t>
  </si>
  <si>
    <t xml:space="preserve">No test for a failure that returns a message</t>
  </si>
  <si>
    <t xml:space="preserve">1(F) → 3 → 4(F) → 6 → 7(T) → 8(F) → 10 → End</t>
  </si>
  <si>
    <t xml:space="preserve">ProgramOwnerBoundaryTests.EditPost_ServiceFailureWithoutMessage_ReturnsFormWithoutModelError</t>
  </si>
  <si>
    <t xml:space="preserve">1(F) → 3 → 4(F) → 6 → 7(F) → 11(T) → 12 → 13 → End</t>
  </si>
  <si>
    <t xml:space="preserve">ProgramOwnerBoundaryTests.EditPost_PublishedSuccess_StoresPublishedLinkAndRedirects</t>
  </si>
  <si>
    <t xml:space="preserve">P6</t>
  </si>
  <si>
    <t xml:space="preserve">1(F) → 3 → 4(F) → 6 → 7(F) → 11(F) → 13 → End</t>
  </si>
  <si>
    <t xml:space="preserve">ProgramOwnerControllerTests.EditPost_ServiceSuccess_Redirects</t>
  </si>
  <si>
    <t xml:space="preserve">ProgramOwnerControllerTests.ManageCandidates_MissingProgram_ReturnsNotFound</t>
  </si>
  <si>
    <t xml:space="preserve">ProgramOwnerControllerTests.ManageCandidates_EnforcesOwnership(admin: False, allowed: False)</t>
  </si>
  <si>
    <t xml:space="preserve">View with candidates</t>
  </si>
  <si>
    <t xml:space="preserve">No test: ownership test uses a different user id</t>
  </si>
  <si>
    <t xml:space="preserve">ProgramOwnerControllerTests.ManageCandidates_EnforcesOwnership(admin: True, allowed: True)</t>
  </si>
  <si>
    <t xml:space="preserve">1(F) → 2(F) → 4 → 5(F) → 6(F) → 8 → 9(F) → 11(F) → 14 → 15(F) → 17(F) → 30(T) → 31 → 32(F) → 34 → End</t>
  </si>
  <si>
    <t xml:space="preserve">valid name and code, no image, no description</t>
  </si>
  <si>
    <t xml:space="preserve">Candidate saved, success message</t>
  </si>
  <si>
    <t xml:space="preserve">ProgramOwnerBoundaryTests.AddCandidate_NameAndCodeAtUpperAndLowerValidBounds_AreSaved(nameLength: 2, codeLength: 1)
ProgramOwnerBoundaryTests.AddCandidate_NameAndCodeAtUpperAndLowerValidBounds_AreSaved(nameLength: 150, codeLength: 50)</t>
  </si>
  <si>
    <t xml:space="preserve">Baseline path</t>
  </si>
  <si>
    <t xml:space="preserve">1(T) → 3 → End</t>
  </si>
  <si>
    <t xml:space="preserve">name blank</t>
  </si>
  <si>
    <t xml:space="preserve">Redirect with error</t>
  </si>
  <si>
    <t xml:space="preserve">ProgramOwnerControllerTests.AddCandidate_RequiredFieldsRedirect(name: "", code: "A")
ProgramOwnerControllerTests.AddCandidate_RequiredFieldsRedirect(name: null, code: "A")
ProgramOwnerControllerTests.AddCandidate_RequiredFieldsRedirect(name: " ", code: "A")</t>
  </si>
  <si>
    <t xml:space="preserve">1(F) → 2(T) → 3 → End</t>
  </si>
  <si>
    <t xml:space="preserve">code blank</t>
  </si>
  <si>
    <t xml:space="preserve">ProgramOwnerControllerTests.AddCandidate_RequiredFieldsRedirect(name: "Candidate", code: "")
ProgramOwnerControllerTests.AddCandidate_RequiredFieldsRedirect(name: "Candidate", code: null)
ProgramOwnerControllerTests.AddCandidate_RequiredFieldsRedirect(name: "Candidate", code: " ")</t>
  </si>
  <si>
    <t xml:space="preserve">1(F) → 2(F) → 4 → 5(T) → 7 → End</t>
  </si>
  <si>
    <t xml:space="preserve">name shorter than 2</t>
  </si>
  <si>
    <t xml:space="preserve">ProgramOwnerDefectTests.D07_AddCandidate_SingleCharacterName_IsRejected</t>
  </si>
  <si>
    <t xml:space="preserve">Defect D07 (regression test)</t>
  </si>
  <si>
    <t xml:space="preserve">1(F) → 2(F) → 4 → 5(F) → 6(T) → 7 → End</t>
  </si>
  <si>
    <t xml:space="preserve">name longer than 150</t>
  </si>
  <si>
    <t xml:space="preserve">ProgramOwnerDefectTests.D08_AddCandidate_FieldOverMaxLength_IsRejectedWithValidationMessage(field: "name")</t>
  </si>
  <si>
    <t xml:space="preserve">Defect D08 name (regression test)</t>
  </si>
  <si>
    <t xml:space="preserve">1(F) → 2(F) → 4 → 5(F) → 6(F) → 8 → 9(T) → 10 → End</t>
  </si>
  <si>
    <t xml:space="preserve">ProgramOwnerControllerTests.AddCandidate_MissingProgram_ReturnsNotFound</t>
  </si>
  <si>
    <t xml:space="preserve">P7</t>
  </si>
  <si>
    <t xml:space="preserve">1(F) → 2(F) → 4 → 5(F) → 6(F) → 8 → 9(F) → 11(T) → 12(T) → 13 → End</t>
  </si>
  <si>
    <t xml:space="preserve">ProgramOwnerControllerTests.AddCandidate_OtherOwner_ReturnsForbid</t>
  </si>
  <si>
    <t xml:space="preserve">P8</t>
  </si>
  <si>
    <t xml:space="preserve">1(F) → 2(F) → 4 → 5(F) → 6(F) → 8 → 9(F) → 11(T) → 12(F) → 14 → 15(F) → 17(F) → 30(T) → 31 → 32(F) → 34 → End</t>
  </si>
  <si>
    <t xml:space="preserve">Candidate saved</t>
  </si>
  <si>
    <t xml:space="preserve">ProgramOwnerBoundaryTests.AddCandidate_AdminOnAnotherOwnersProgram_SavesCandidate</t>
  </si>
  <si>
    <t xml:space="preserve">P9</t>
  </si>
  <si>
    <t xml:space="preserve">1(F) → 2(F) → 4 → 5(F) → 6(F) → 8 → 9(F) → 11(F) → 14 → 15(T) → 16 → End</t>
  </si>
  <si>
    <t xml:space="preserve">code already used in program</t>
  </si>
  <si>
    <t xml:space="preserve">ProgramOwnerControllerTests.AddCandidate_DuplicateCode_RedirectsWithoutAdding</t>
  </si>
  <si>
    <t xml:space="preserve">P10</t>
  </si>
  <si>
    <t xml:space="preserve">1(F) → 2(F) → 4 → 5(F) → 6(F) → 8 → 9(F) → 11(F) → 14 → 15(F) → 17(T) → 18 → 19(T) → 20(T) → 23(F) → 26(F) → 29 → 30(T) → 31 → 32(F) → 34 → End</t>
  </si>
  <si>
    <t xml:space="preserve">image URL is http</t>
  </si>
  <si>
    <t xml:space="preserve">ProgramOwnerControllerTests.AddCandidate_ValidImageUrl_Saves(imageUrl: "http://example.com/image.png")</t>
  </si>
  <si>
    <t xml:space="preserve">P11</t>
  </si>
  <si>
    <t xml:space="preserve">1(F) → 2(F) → 4 → 5(F) → 6(F) → 8 → 9(F) → 11(F) → 14 → 15(F) → 17(T) → 18 → 19(T) → 20(F) → 21 → 23(F) → 26(F) → 29 → 30(T) → 31 → 32(F) → 34 → End</t>
  </si>
  <si>
    <t xml:space="preserve">image URL is https</t>
  </si>
  <si>
    <t xml:space="preserve">ProgramOwnerControllerTests.AddCandidate_ValidImageUrl_Saves(imageUrl: "https://example.com/image.png")</t>
  </si>
  <si>
    <t xml:space="preserve">P12</t>
  </si>
  <si>
    <t xml:space="preserve">1(F) → 2(F) → 4 → 5(F) → 6(F) → 8 → 9(F) → 11(F) → 14 → 15(F) → 17(T) → 18 → 19(T) → 20(F) → 21 → 23(F) → 26(T) → 27(T) → 28 → End</t>
  </si>
  <si>
    <t xml:space="preserve">absolute URL, other scheme (javascript, ftp, data)</t>
  </si>
  <si>
    <t xml:space="preserve">ProgramOwnerControllerTests.AddCandidate_InvalidImageUrl_Redirects(imageUrl: "javascript:alert(1)")
ProgramOwnerControllerTests.AddCandidate_InvalidImageUrl_Redirects(imageUrl: "ftp://example.com/image.png")
ProgramOwnerControllerTests.AddCandidate_InvalidImageUrl_Redirects(imageUrl: "data:image/png;base64,abc")</t>
  </si>
  <si>
    <t xml:space="preserve">P13</t>
  </si>
  <si>
    <t xml:space="preserve">1(F) → 2(F) → 4 → 5(F) → 6(F) → 8 → 9(F) → 11(F) → 14 → 15(F) → 17(T) → 18 → 19(F) → 23(F) → 26(T) → 27(T) → 28 → End</t>
  </si>
  <si>
    <t xml:space="preserve">not absolute, no leading "/" (example.com/..)</t>
  </si>
  <si>
    <t xml:space="preserve">ProgramOwnerControllerTests.AddCandidate_InvalidImageUrl_Redirects(imageUrl: "example.com/image.png")</t>
  </si>
  <si>
    <t xml:space="preserve">P14</t>
  </si>
  <si>
    <t xml:space="preserve">1(F) → 2(F) → 4 → 5(F) → 6(F) → 8 → 9(F) → 11(F) → 14 → 15(F) → 17(T) → 18 → 19(F) → 23(T) → 24(T) → 25 → 26(T) → 27(F) → 29 → 30(T) → 31 → 32(F) → 34 → End</t>
  </si>
  <si>
    <t xml:space="preserve">root-relative URL (/images/..)</t>
  </si>
  <si>
    <t xml:space="preserve">ProgramOwnerControllerTests.AddCandidate_ValidImageUrl_Saves(imageUrl: "/images/candidate.png")</t>
  </si>
  <si>
    <t xml:space="preserve">P15</t>
  </si>
  <si>
    <t xml:space="preserve">1(F) → 2(F) → 4 → 5(F) → 6(F) → 8 → 9(F) → 11(F) → 14 → 15(F) → 17(T) → 18 → 19(F) → 23(T) → 24(F) → 26(T) → 27(T) → 28 → End</t>
  </si>
  <si>
    <t xml:space="preserve">protocol-relative URL (//host/..)</t>
  </si>
  <si>
    <t xml:space="preserve">ProgramOwnerDefectTests.D09_AddCandidate_ProtocolRelativeImageUrl_IsRejected</t>
  </si>
  <si>
    <t xml:space="preserve">Defect D09 (regression test)</t>
  </si>
  <si>
    <t xml:space="preserve">P16</t>
  </si>
  <si>
    <t xml:space="preserve">1(F) → 2(F) → 4 → 5(F) → 6(F) → 8 → 9(F) → 11(F) → 14 → 15(F) → 17(F) → 30(F) → 31 → 32(F) → 34 → End</t>
  </si>
  <si>
    <t xml:space="preserve">no image, description given</t>
  </si>
  <si>
    <t xml:space="preserve">Candidate saved, description trimmed</t>
  </si>
  <si>
    <t xml:space="preserve">No test: description is only passed together with an image URL</t>
  </si>
  <si>
    <t xml:space="preserve">P17</t>
  </si>
  <si>
    <t xml:space="preserve">1(F) → 2(F) → 4 → 5(F) → 6(F) → 8 → 9(F) → 11(F) → 14 → 15(F) → 17(F) → 30(T) → 31 → 32(T) → 33 → End</t>
  </si>
  <si>
    <t xml:space="preserve">SaveChanges throws DbUpdateException</t>
  </si>
  <si>
    <t xml:space="preserve">Not testable with the InMemory database; needs a faulting DbContext</t>
  </si>
  <si>
    <t xml:space="preserve">P18</t>
  </si>
  <si>
    <t xml:space="preserve">1(F) → 2(F) → 4 → 5(F) → 6(F) → 8 → 9(F) → 11(F) → 14 → 15(F) → 17(T) → 18 → 19(T) → 20(T) → 23(T) → 24(T) → 25 → 26(F) → 29 → 30(T) → 31 → 32(F) → 34 → End</t>
  </si>
  <si>
    <t xml:space="preserve">absolute http(s) URL that also starts with "/"</t>
  </si>
  <si>
    <t xml:space="preserve">(impossible input)</t>
  </si>
  <si>
    <t xml:space="preserve">INFEASIBLE: a valid http/https URL cannot start with "/" on Windows</t>
  </si>
  <si>
    <t xml:space="preserve">Diagram 2: independent paths per action (basis set; node numbers match BasisPath_Diagram2.png and the Node Legend sheet)</t>
  </si>
  <si>
    <t xml:space="preserve">1 → 2(F) → 4 → 5(F) → 6(F) → 9(F) → 11 → 12(F) → 14 → End</t>
  </si>
  <si>
    <t xml:space="preserve">owner, correct program</t>
  </si>
  <si>
    <t xml:space="preserve">Candidate deleted</t>
  </si>
  <si>
    <t xml:space="preserve">No passing test; only the failing defect test D03 runs this path</t>
  </si>
  <si>
    <t xml:space="preserve">candidate not found</t>
  </si>
  <si>
    <t xml:space="preserve">ProgramOwnerControllerTests.DeleteCandidate_MissingCandidate_ReturnsNotFound</t>
  </si>
  <si>
    <t xml:space="preserve">1 → 2(F) → 4 → 5(T) → 8 → End</t>
  </si>
  <si>
    <t xml:space="preserve">1 → 2(F) → 4 → 5(F) → 6(T) → 7(T) → 8 → End</t>
  </si>
  <si>
    <t xml:space="preserve">ProgramOwnerControllerTests.DeleteCandidate_EnforcesOwnership(admin: False, allowed: False)</t>
  </si>
  <si>
    <t xml:space="preserve">1 → 2(F) → 4 → 5(F) → 6(T) → 7(F) → 9(F) → 11 → 12(F) → 14 → End</t>
  </si>
  <si>
    <t xml:space="preserve">ProgramOwnerControllerTests.DeleteCandidate_EnforcesOwnership(admin: True, allowed: True)</t>
  </si>
  <si>
    <t xml:space="preserve">1 → 2(F) → 4 → 5(F) → 6(F) → 9(T) → 10 → End</t>
  </si>
  <si>
    <t xml:space="preserve">candidate belongs to another program</t>
  </si>
  <si>
    <t xml:space="preserve">ProgramOwnerControllerTests.DeleteCandidate_WrongProgram_ReturnsForbid</t>
  </si>
  <si>
    <t xml:space="preserve">1 → 2(F) → 4 → 5(F) → 6(F) → 9(F) → 11 → 12(T) → 13 → End</t>
  </si>
  <si>
    <t xml:space="preserve">Not testable with the InMemory database</t>
  </si>
  <si>
    <t xml:space="preserve">ProgramOwnerControllerTests.Results_MissingProgram_ReturnsNotFound</t>
  </si>
  <si>
    <t xml:space="preserve">ProgramOwnerControllerTests.Results_OtherOwner_ReturnsForbid</t>
  </si>
  <si>
    <t xml:space="preserve">1 → 2(F) → 4(F) → 7 → 8 → 9 → End</t>
  </si>
  <si>
    <t xml:space="preserve">Results view, BlockchainValid</t>
  </si>
  <si>
    <t xml:space="preserve">ProgramOwnerControllerTests.Results_OwnerLoadsResultsAndBlockchainStatus</t>
  </si>
  <si>
    <t xml:space="preserve">1 → 2(F) → 4(T) → 5(F) → 7 → 8 → 9 → End</t>
  </si>
  <si>
    <t xml:space="preserve">Results view</t>
  </si>
  <si>
    <t xml:space="preserve">ProgramOwnerBoundaryTests.Results_AdminOnAnotherOwnersProgram_ReturnsView</t>
  </si>
  <si>
    <t xml:space="preserve">ProgramOwnerControllerTests.ManageVoters_MissingProgram_ReturnsNotFound</t>
  </si>
  <si>
    <t xml:space="preserve">ProgramOwnerControllerTests.ManageVoters_OtherOwner_ReturnsForbid</t>
  </si>
  <si>
    <t xml:space="preserve">View with voter list</t>
  </si>
  <si>
    <t xml:space="preserve">ProgramOwnerControllerTests.ManageVoters_OwnerLoadsVoters</t>
  </si>
  <si>
    <t xml:space="preserve">No test for an admin user</t>
  </si>
  <si>
    <t xml:space="preserve">1 → 2(F) → 3(F) → 6 → 7(F) → 9 → End</t>
  </si>
  <si>
    <t xml:space="preserve">owner, service succeeds</t>
  </si>
  <si>
    <t xml:space="preserve">Redirect with success</t>
  </si>
  <si>
    <t xml:space="preserve">ProgramOwnerControllerTests.RegisterVoterPost_ServiceSuccess_Redirects</t>
  </si>
  <si>
    <t xml:space="preserve">1 → 2(T) → 5 → End</t>
  </si>
  <si>
    <t xml:space="preserve">1 → 2(F) → 3(T) → 4(T) → 5 → End</t>
  </si>
  <si>
    <t xml:space="preserve">1 → 2(F) → 3(T) → 4(F) → 6 → 7(F) → 9 → End</t>
  </si>
  <si>
    <t xml:space="preserve">Service called, redirect with success</t>
  </si>
  <si>
    <t xml:space="preserve">ProgramOwnerBoundaryTests.RegisterVoterPost_AdminOnAnotherOwnersProgram_CallsService</t>
  </si>
  <si>
    <t xml:space="preserve">1 → 2(F) → 3(F) → 6 → 7(T) → 8 → End</t>
  </si>
  <si>
    <t xml:space="preserve">owner, service fails</t>
  </si>
  <si>
    <t xml:space="preserve">ProgramOwnerControllerTests.RegisterVoterPost_ServiceFailure_RedirectsWithError</t>
  </si>
  <si>
    <t xml:space="preserve">1 → 2(F) → 3(F) → 6 → 7(T) → 8(T) → 9 → End</t>
  </si>
  <si>
    <t xml:space="preserve">Redirect, "Voter removed successfully."</t>
  </si>
  <si>
    <t xml:space="preserve">ProgramOwnerControllerTests.RemoveVoter_ReflectsServiceResult(success: True)</t>
  </si>
  <si>
    <t xml:space="preserve">ProgramOwnerControllerTests.RemoveVoter_MissingProgram_ReturnsForbid</t>
  </si>
  <si>
    <t xml:space="preserve">1 → 2(F) → 3(T) → 4(F) → 6 → 7(T) → 8(T) → 9 → End</t>
  </si>
  <si>
    <t xml:space="preserve">1 → 2(F) → 3(F) → 6 → 7(F) → 8(F) → 9 → End</t>
  </si>
  <si>
    <t xml:space="preserve">Redirect with error message</t>
  </si>
  <si>
    <t xml:space="preserve">ProgramOwnerControllerTests.RemoveVoter_ReflectsServiceResult(success: False)</t>
  </si>
  <si>
    <t xml:space="preserve">1 → 2(F) → 3(F) → 6 → 7(F) → 8(T) → 9 → End</t>
  </si>
  <si>
    <t xml:space="preserve">key says Error but value says success</t>
  </si>
  <si>
    <t xml:space="preserve">(impossible)</t>
  </si>
  <si>
    <t xml:space="preserve">INFEASIBLE: nodes 7 and 8 test the same variable "success"</t>
  </si>
  <si>
    <t xml:space="preserve">1 → 2(F) → 4(F) → 7(F) → 10 → 11(F) → 13 → End</t>
  </si>
  <si>
    <t xml:space="preserve">owner, program not published</t>
  </si>
  <si>
    <t xml:space="preserve">Program deleted</t>
  </si>
  <si>
    <t xml:space="preserve">ProgramOwnerBoundaryTests.Delete_UnpublishedProgram_RemovesProgram</t>
  </si>
  <si>
    <t xml:space="preserve">ProgramOwnerControllerTests.Delete_MissingProgram_ReturnsNotFound</t>
  </si>
  <si>
    <t xml:space="preserve">ProgramOwnerControllerTests.Delete_OtherOwner_ReturnsForbid</t>
  </si>
  <si>
    <t xml:space="preserve">1 → 2(F) → 4(T) → 5(F) → 7(F) → 10 → 11(F) → 13 → End</t>
  </si>
  <si>
    <t xml:space="preserve">not owner, is admin, not published</t>
  </si>
  <si>
    <t xml:space="preserve">1 → 2(F) → 4(F) → 7(T) → 8(T) → 9 → End</t>
  </si>
  <si>
    <t xml:space="preserve">published and not yet ended</t>
  </si>
  <si>
    <t xml:space="preserve">Redirect with error, program kept</t>
  </si>
  <si>
    <t xml:space="preserve">ProgramOwnerControllerTests.Delete_ActivePublishedProgram_IsRejected</t>
  </si>
  <si>
    <t xml:space="preserve">1 → 2(F) → 4(F) → 7(T) → 8(F) → 10 → 11(F) → 13 → End</t>
  </si>
  <si>
    <t xml:space="preserve">published and already ended</t>
  </si>
  <si>
    <t xml:space="preserve">ProgramOwnerControllerTests.Delete_EndedProgram_RemovesProgram</t>
  </si>
  <si>
    <t xml:space="preserve">1 → 2(F) → 4(F) → 7(F) → 10 → 11(T) → 12 → End</t>
  </si>
  <si>
    <t xml:space="preserve">Node legend: what each numbered node in the diagrams is</t>
  </si>
  <si>
    <t xml:space="preserve">Node</t>
  </si>
  <si>
    <t xml:space="preserve">Type</t>
  </si>
  <si>
    <t xml:space="preserve">Statement or decision</t>
  </si>
  <si>
    <t xml:space="preserve">Process</t>
  </si>
  <si>
    <t xml:space="preserve">35</t>
  </si>
  <si>
    <t xml:space="preserve">userId = CurrentUserId</t>
  </si>
  <si>
    <t xml:space="preserve">Decision</t>
  </si>
  <si>
    <t xml:space="preserve">36</t>
  </si>
  <si>
    <t xml:space="preserve">string.IsNullOrEmpty(userId)?</t>
  </si>
  <si>
    <t xml:space="preserve">Return (error / rejected)</t>
  </si>
  <si>
    <t xml:space="preserve">return Unauthorized()</t>
  </si>
  <si>
    <t xml:space="preserve">38-39</t>
  </si>
  <si>
    <t xml:space="preserve">load user; set ViewBag.OwnerName</t>
  </si>
  <si>
    <t xml:space="preserve">41-48</t>
  </si>
  <si>
    <t xml:space="preserve">load programs of this owner (Where OwnerId == userId)</t>
  </si>
  <si>
    <t xml:space="preserve">Return (normal)</t>
  </si>
  <si>
    <t xml:space="preserve">50</t>
  </si>
  <si>
    <t xml:space="preserve">return View(programs)</t>
  </si>
  <si>
    <t xml:space="preserve">71</t>
  </si>
  <si>
    <t xml:space="preserve">PrepareProgramModelForValidation()</t>
  </si>
  <si>
    <t xml:space="preserve">73</t>
  </si>
  <si>
    <t xml:space="preserve">!ModelState.IsValid?</t>
  </si>
  <si>
    <t xml:space="preserve">75-76</t>
  </si>
  <si>
    <t xml:space="preserve">ValuesAreUtc = false; return View(form)</t>
  </si>
  <si>
    <t xml:space="preserve">79</t>
  </si>
  <si>
    <t xml:space="preserve">(success, error) = ValidateAndCreateProgramAsync(model)</t>
  </si>
  <si>
    <t xml:space="preserve">81</t>
  </si>
  <si>
    <t xml:space="preserve">!success?</t>
  </si>
  <si>
    <t xml:space="preserve">83</t>
  </si>
  <si>
    <t xml:space="preserve">errorMessage != null?</t>
  </si>
  <si>
    <t xml:space="preserve">84</t>
  </si>
  <si>
    <t xml:space="preserve">ModelState.AddModelError(error)</t>
  </si>
  <si>
    <t xml:space="preserve">85</t>
  </si>
  <si>
    <t xml:space="preserve">return View(form)</t>
  </si>
  <si>
    <t xml:space="preserve">88</t>
  </si>
  <si>
    <t xml:space="preserve">model.IsPublished?</t>
  </si>
  <si>
    <t xml:space="preserve">89</t>
  </si>
  <si>
    <t xml:space="preserve">TempData[PublishedLink] = Url.Action(Vote)</t>
  </si>
  <si>
    <t xml:space="preserve">91-92</t>
  </si>
  <si>
    <t xml:space="preserve">TempData[Success]; return RedirectToAction(MyPrograms)</t>
  </si>
  <si>
    <t xml:space="preserve">100-102</t>
  </si>
  <si>
    <t xml:space="preserve">program = query by id (AsNoTracking)</t>
  </si>
  <si>
    <t xml:space="preserve">104</t>
  </si>
  <si>
    <t xml:space="preserve">program is null?</t>
  </si>
  <si>
    <t xml:space="preserve">return NotFound()</t>
  </si>
  <si>
    <t xml:space="preserve">106</t>
  </si>
  <si>
    <t xml:space="preserve">program.OwnerId != CurrentUserId?</t>
  </si>
  <si>
    <t xml:space="preserve">!User.IsInRole(Admin)?</t>
  </si>
  <si>
    <t xml:space="preserve">107</t>
  </si>
  <si>
    <t xml:space="preserve">return Forbid()</t>
  </si>
  <si>
    <t xml:space="preserve">109-111</t>
  </si>
  <si>
    <t xml:space="preserve">SpecifyKind(UTC) on Start/End; ValuesAreUtc = true</t>
  </si>
  <si>
    <t xml:space="preserve">113</t>
  </si>
  <si>
    <t xml:space="preserve">return View(form, program)</t>
  </si>
  <si>
    <t xml:space="preserve">121</t>
  </si>
  <si>
    <t xml:space="preserve">id != model.Id?</t>
  </si>
  <si>
    <t xml:space="preserve">123</t>
  </si>
  <si>
    <t xml:space="preserve">125</t>
  </si>
  <si>
    <t xml:space="preserve">126</t>
  </si>
  <si>
    <t xml:space="preserve">128</t>
  </si>
  <si>
    <t xml:space="preserve">(success, error) = ValidateAndUpdateProgramAsync(id, model)</t>
  </si>
  <si>
    <t xml:space="preserve">130</t>
  </si>
  <si>
    <t xml:space="preserve">132</t>
  </si>
  <si>
    <t xml:space="preserve">133</t>
  </si>
  <si>
    <t xml:space="preserve">134</t>
  </si>
  <si>
    <t xml:space="preserve">137</t>
  </si>
  <si>
    <t xml:space="preserve">138</t>
  </si>
  <si>
    <t xml:space="preserve">140-141</t>
  </si>
  <si>
    <t xml:space="preserve">148</t>
  </si>
  <si>
    <t xml:space="preserve">program = GetProgramWithCandidatesAsync(programId)</t>
  </si>
  <si>
    <t xml:space="preserve">149</t>
  </si>
  <si>
    <t xml:space="preserve">151</t>
  </si>
  <si>
    <t xml:space="preserve">152</t>
  </si>
  <si>
    <t xml:space="preserve">154</t>
  </si>
  <si>
    <t xml:space="preserve">ViewBag.Program = program</t>
  </si>
  <si>
    <t xml:space="preserve">156</t>
  </si>
  <si>
    <t xml:space="preserve">return View(ManageCandidatesView, program.Candidates)</t>
  </si>
  <si>
    <t xml:space="preserve">166</t>
  </si>
  <si>
    <t xml:space="preserve">IsNullOrWhiteSpace(name)?</t>
  </si>
  <si>
    <t xml:space="preserve">IsNullOrWhiteSpace(candidateCode)?  (||)</t>
  </si>
  <si>
    <t xml:space="preserve">168-169</t>
  </si>
  <si>
    <t xml:space="preserve">TempData[Error]=required; return Redirect(ManageCandidates)</t>
  </si>
  <si>
    <t xml:space="preserve">172</t>
  </si>
  <si>
    <t xml:space="preserve">name = name.Trim()</t>
  </si>
  <si>
    <t xml:space="preserve">173</t>
  </si>
  <si>
    <t xml:space="preserve">name.Length &lt; 2?</t>
  </si>
  <si>
    <t xml:space="preserve">name.Length &gt; 150?  (||)</t>
  </si>
  <si>
    <t xml:space="preserve">175-176</t>
  </si>
  <si>
    <t xml:space="preserve">TempData[Error]=length; return Redirect(ManageCandidates)</t>
  </si>
  <si>
    <t xml:space="preserve">179</t>
  </si>
  <si>
    <t xml:space="preserve">program = Programs.FindAsync(programId)</t>
  </si>
  <si>
    <t xml:space="preserve">180</t>
  </si>
  <si>
    <t xml:space="preserve">182</t>
  </si>
  <si>
    <t xml:space="preserve">!User.IsInRole(Admin)?  (&amp;&amp;)</t>
  </si>
  <si>
    <t xml:space="preserve">183</t>
  </si>
  <si>
    <t xml:space="preserve">185-186</t>
  </si>
  <si>
    <t xml:space="preserve">codeExists = AnyAsync(same program and code)</t>
  </si>
  <si>
    <t xml:space="preserve">188</t>
  </si>
  <si>
    <t xml:space="preserve">codeExists?</t>
  </si>
  <si>
    <t xml:space="preserve">190-191</t>
  </si>
  <si>
    <t xml:space="preserve">TempData[Error]=duplicate; return Redirect(ManageCandidates)</t>
  </si>
  <si>
    <t xml:space="preserve">195</t>
  </si>
  <si>
    <t xml:space="preserve">!IsNullOrWhiteSpace(imageUrl)?</t>
  </si>
  <si>
    <t xml:space="preserve">197</t>
  </si>
  <si>
    <t xml:space="preserve">imageUrl = imageUrl.Trim()</t>
  </si>
  <si>
    <t xml:space="preserve">198</t>
  </si>
  <si>
    <t xml:space="preserve">Uri.TryCreate(imageUrl, Absolute)?  (validUrl &amp;&amp;)</t>
  </si>
  <si>
    <t xml:space="preserve">199</t>
  </si>
  <si>
    <t xml:space="preserve">uri.Scheme == http?  (validUrl ||)</t>
  </si>
  <si>
    <t xml:space="preserve">validUrl = (uri.Scheme == https)</t>
  </si>
  <si>
    <t xml:space="preserve">202</t>
  </si>
  <si>
    <t xml:space="preserve">imageUrl.StartsWith("/")?  (relativeOk)</t>
  </si>
  <si>
    <t xml:space="preserve">203</t>
  </si>
  <si>
    <t xml:space="preserve">!imageUrl.StartsWith("//")?  (&amp;&amp;)</t>
  </si>
  <si>
    <t xml:space="preserve">204</t>
  </si>
  <si>
    <t xml:space="preserve">relativeOk = !imageUrl.StartsWith("/\")</t>
  </si>
  <si>
    <t xml:space="preserve">206</t>
  </si>
  <si>
    <t xml:space="preserve">!validUrl?</t>
  </si>
  <si>
    <t xml:space="preserve">!relativeOk?  (&amp;&amp;)</t>
  </si>
  <si>
    <t xml:space="preserve">208-209</t>
  </si>
  <si>
    <t xml:space="preserve">TempData[Error]=invalid URL; return Redirect(ManageCandidates)</t>
  </si>
  <si>
    <t xml:space="preserve">212</t>
  </si>
  <si>
    <t xml:space="preserve">safeImageUrl = imageUrl</t>
  </si>
  <si>
    <t xml:space="preserve">219</t>
  </si>
  <si>
    <t xml:space="preserve">IsNullOrWhiteSpace(description)?  (?:)</t>
  </si>
  <si>
    <t xml:space="preserve">215-228</t>
  </si>
  <si>
    <t xml:space="preserve">build Candidate; Candidates.Add; SaveChangesAsync()</t>
  </si>
  <si>
    <t xml:space="preserve">230</t>
  </si>
  <si>
    <t xml:space="preserve">DbUpdateException thrown?  (catch)</t>
  </si>
  <si>
    <t xml:space="preserve">232-233</t>
  </si>
  <si>
    <t xml:space="preserve">TempData[Error]=could not save; return Redirect(ManageCandidates)</t>
  </si>
  <si>
    <t xml:space="preserve">236-237</t>
  </si>
  <si>
    <t xml:space="preserve">TempData[Success]; return Redirect(ManageCandidates)</t>
  </si>
  <si>
    <t xml:space="preserve">245</t>
  </si>
  <si>
    <t xml:space="preserve">candidate = Candidates.FindAsync(id)</t>
  </si>
  <si>
    <t xml:space="preserve">246</t>
  </si>
  <si>
    <t xml:space="preserve">candidate is null?</t>
  </si>
  <si>
    <t xml:space="preserve">248</t>
  </si>
  <si>
    <t xml:space="preserve">249</t>
  </si>
  <si>
    <t xml:space="preserve">program == null?</t>
  </si>
  <si>
    <t xml:space="preserve">program.OwnerId != CurrentUserId?  (||)</t>
  </si>
  <si>
    <t xml:space="preserve">250</t>
  </si>
  <si>
    <t xml:space="preserve">252</t>
  </si>
  <si>
    <t xml:space="preserve">candidate.ProgramId != programId?</t>
  </si>
  <si>
    <t xml:space="preserve">256-257</t>
  </si>
  <si>
    <t xml:space="preserve">Candidates.Remove(candidate); SaveChangesAsync()</t>
  </si>
  <si>
    <t xml:space="preserve">259</t>
  </si>
  <si>
    <t xml:space="preserve">261-262</t>
  </si>
  <si>
    <t xml:space="preserve">TempData[Error]; return Redirect(ManageCandidates)</t>
  </si>
  <si>
    <t xml:space="preserve">265-266</t>
  </si>
  <si>
    <t xml:space="preserve">273</t>
  </si>
  <si>
    <t xml:space="preserve">program = GetProgramWithCandidatesAsync(id)</t>
  </si>
  <si>
    <t xml:space="preserve">274</t>
  </si>
  <si>
    <t xml:space="preserve">276</t>
  </si>
  <si>
    <t xml:space="preserve">277</t>
  </si>
  <si>
    <t xml:space="preserve">279-280</t>
  </si>
  <si>
    <t xml:space="preserve">results = GetResultsAsync(id); totalVotes = Sum(VoteCount)</t>
  </si>
  <si>
    <t xml:space="preserve">282-284</t>
  </si>
  <si>
    <t xml:space="preserve">set ViewBag.Results/TotalVotes; BlockchainValid = IsChainValidForProgramAsync</t>
  </si>
  <si>
    <t xml:space="preserve">286</t>
  </si>
  <si>
    <t xml:space="preserve">return View(ResultsView, program)</t>
  </si>
  <si>
    <t xml:space="preserve">293-296</t>
  </si>
  <si>
    <t xml:space="preserve">program = Programs.Include(Owner).AsNoTracking().FirstOrDefault(programId)</t>
  </si>
  <si>
    <t xml:space="preserve">298</t>
  </si>
  <si>
    <t xml:space="preserve">300</t>
  </si>
  <si>
    <t xml:space="preserve">301</t>
  </si>
  <si>
    <t xml:space="preserve">303-307</t>
  </si>
  <si>
    <t xml:space="preserve">voters = Voters.Where(ProgramId).OrderBy(Name).ToList()</t>
  </si>
  <si>
    <t xml:space="preserve">309</t>
  </si>
  <si>
    <t xml:space="preserve">310</t>
  </si>
  <si>
    <t xml:space="preserve">return View(ManageVotersView, voters)</t>
  </si>
  <si>
    <t xml:space="preserve">333</t>
  </si>
  <si>
    <t xml:space="preserve">334</t>
  </si>
  <si>
    <t xml:space="preserve">335</t>
  </si>
  <si>
    <t xml:space="preserve">338-339</t>
  </si>
  <si>
    <t xml:space="preserve">(success, error) = RegisterVoterByEmailAsync(..., "owner")</t>
  </si>
  <si>
    <t xml:space="preserve">341</t>
  </si>
  <si>
    <t xml:space="preserve">343-344</t>
  </si>
  <si>
    <t xml:space="preserve">TempData[Error]=error; return Redirect(ManageVoters)</t>
  </si>
  <si>
    <t xml:space="preserve">347-348</t>
  </si>
  <si>
    <t xml:space="preserve">TempData[Success]; return Redirect(ManageVoters)</t>
  </si>
  <si>
    <t xml:space="preserve">357</t>
  </si>
  <si>
    <t xml:space="preserve">358</t>
  </si>
  <si>
    <t xml:space="preserve">359</t>
  </si>
  <si>
    <t xml:space="preserve">362</t>
  </si>
  <si>
    <t xml:space="preserve">(success, error) = RemoveVoterAsync(voterId, programId)</t>
  </si>
  <si>
    <t xml:space="preserve">364</t>
  </si>
  <si>
    <t xml:space="preserve">success ? "Success" : "Error"  (TempData key, ?:)</t>
  </si>
  <si>
    <t xml:space="preserve">365</t>
  </si>
  <si>
    <t xml:space="preserve">success ? message : error  (TempData value, ?:)</t>
  </si>
  <si>
    <t xml:space="preserve">367</t>
  </si>
  <si>
    <t xml:space="preserve">return RedirectToAction(ManageVoters)</t>
  </si>
  <si>
    <t xml:space="preserve">375</t>
  </si>
  <si>
    <t xml:space="preserve">program = Programs.FindAsync(id)</t>
  </si>
  <si>
    <t xml:space="preserve">376</t>
  </si>
  <si>
    <t xml:space="preserve">378</t>
  </si>
  <si>
    <t xml:space="preserve">379</t>
  </si>
  <si>
    <t xml:space="preserve">381</t>
  </si>
  <si>
    <t xml:space="preserve">program.IsPublished?</t>
  </si>
  <si>
    <t xml:space="preserve">!program.HasEnded?  (&amp;&amp;)</t>
  </si>
  <si>
    <t xml:space="preserve">383-384</t>
  </si>
  <si>
    <t xml:space="preserve">TempData[Error]=cannot delete running program; return Redirect(MyPrograms)</t>
  </si>
  <si>
    <t xml:space="preserve">389-390</t>
  </si>
  <si>
    <t xml:space="preserve">Programs.Remove(program); SaveChangesAsync()</t>
  </si>
  <si>
    <t xml:space="preserve">392</t>
  </si>
  <si>
    <t xml:space="preserve">394-395</t>
  </si>
  <si>
    <t xml:space="preserve">TempData[Error]=could not delete; return Redirect(MyPrograms)</t>
  </si>
  <si>
    <t xml:space="preserve">398-399</t>
  </si>
  <si>
    <t xml:space="preserve">TempData[Success]; return Redirect(MyPrograms)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</si>
</sst>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4" min="13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1</v>
      </c>
      <c r="E5" s="4" t="n">
        <f aca="false">D5+1</f>
        <v>2</v>
      </c>
      <c r="F5" s="4" t="n">
        <v>7</v>
      </c>
      <c r="G5" s="4" t="n">
        <v>7</v>
      </c>
      <c r="H5" s="4" t="n">
        <f aca="false">F5-G5+2</f>
        <v>2</v>
      </c>
      <c r="I5" s="4" t="str">
        <f aca="false">IF(E5=H5,"OK","CHECK")</f>
        <v>OK</v>
      </c>
      <c r="J5" s="4" t="n">
        <f aca="false">COUNTIF('Diagram 1 Paths'!A:A,B5)</f>
        <v>2</v>
      </c>
      <c r="K5" s="4" t="n">
        <f aca="false">COUNTIFS('Diagram 1 Paths'!A:A,B5,'Diagram 1 Paths'!G:G,"Pass")</f>
        <v>2</v>
      </c>
      <c r="L5" s="4" t="n">
        <f aca="false">COUNTIFS('Diagram 1 Paths'!A:A,B5,'Diagram 1 Paths'!G:G,"No test")</f>
        <v>0</v>
      </c>
      <c r="M5" s="4" t="n">
        <f aca="false">COUNTIFS('Diagram 1 Paths'!A:A,B5,'Diagram 1 Paths'!G:G,"Infeasible")</f>
        <v>0</v>
      </c>
      <c r="N5" s="4" t="n">
        <f aca="false">COUNTIFS('Diagram 1 Paths'!A:A,B5,'Diagram 1 Paths'!G:G,"Fail")</f>
        <v>0</v>
      </c>
    </row>
    <row r="6" customFormat="false" ht="15" hidden="false" customHeight="false" outlineLevel="0" collapsed="false">
      <c r="A6" s="4" t="n">
        <v>1</v>
      </c>
      <c r="B6" s="5" t="s">
        <v>18</v>
      </c>
      <c r="C6" s="4" t="s">
        <v>19</v>
      </c>
      <c r="D6" s="4" t="n">
        <v>4</v>
      </c>
      <c r="E6" s="4" t="n">
        <f aca="false">D6+1</f>
        <v>5</v>
      </c>
      <c r="F6" s="4" t="n">
        <v>15</v>
      </c>
      <c r="G6" s="4" t="n">
        <v>12</v>
      </c>
      <c r="H6" s="4" t="n">
        <f aca="false">F6-G6+2</f>
        <v>5</v>
      </c>
      <c r="I6" s="4" t="str">
        <f aca="false">IF(E6=H6,"OK","CHECK")</f>
        <v>OK</v>
      </c>
      <c r="J6" s="4" t="n">
        <f aca="false">COUNTIF('Diagram 1 Paths'!A:A,B6)</f>
        <v>5</v>
      </c>
      <c r="K6" s="4" t="n">
        <f aca="false">COUNTIFS('Diagram 1 Paths'!A:A,B6,'Diagram 1 Paths'!G:G,"Pass")</f>
        <v>4</v>
      </c>
      <c r="L6" s="4" t="n">
        <f aca="false">COUNTIFS('Diagram 1 Paths'!A:A,B6,'Diagram 1 Paths'!G:G,"No test")</f>
        <v>1</v>
      </c>
      <c r="M6" s="4" t="n">
        <f aca="false">COUNTIFS('Diagram 1 Paths'!A:A,B6,'Diagram 1 Paths'!G:G,"Infeasible")</f>
        <v>0</v>
      </c>
      <c r="N6" s="4" t="n">
        <f aca="false">COUNTIFS('Diagram 1 Paths'!A:A,B6,'Diagram 1 Paths'!G:G,"Fail")</f>
        <v>0</v>
      </c>
    </row>
    <row r="7" customFormat="false" ht="15" hidden="false" customHeight="false" outlineLevel="0" collapsed="false">
      <c r="A7" s="4" t="n">
        <v>1</v>
      </c>
      <c r="B7" s="5" t="s">
        <v>20</v>
      </c>
      <c r="C7" s="4" t="s">
        <v>21</v>
      </c>
      <c r="D7" s="4" t="n">
        <v>3</v>
      </c>
      <c r="E7" s="4" t="n">
        <f aca="false">D7+1</f>
        <v>4</v>
      </c>
      <c r="F7" s="4" t="n">
        <v>11</v>
      </c>
      <c r="G7" s="4" t="n">
        <v>9</v>
      </c>
      <c r="H7" s="4" t="n">
        <f aca="false">F7-G7+2</f>
        <v>4</v>
      </c>
      <c r="I7" s="4" t="str">
        <f aca="false">IF(E7=H7,"OK","CHECK")</f>
        <v>OK</v>
      </c>
      <c r="J7" s="4" t="n">
        <f aca="false">COUNTIF('Diagram 1 Paths'!A:A,B7)</f>
        <v>4</v>
      </c>
      <c r="K7" s="4" t="n">
        <f aca="false">COUNTIFS('Diagram 1 Paths'!A:A,B7,'Diagram 1 Paths'!G:G,"Pass")</f>
        <v>3</v>
      </c>
      <c r="L7" s="4" t="n">
        <f aca="false">COUNTIFS('Diagram 1 Paths'!A:A,B7,'Diagram 1 Paths'!G:G,"No test")</f>
        <v>1</v>
      </c>
      <c r="M7" s="4" t="n">
        <f aca="false">COUNTIFS('Diagram 1 Paths'!A:A,B7,'Diagram 1 Paths'!G:G,"Infeasible")</f>
        <v>0</v>
      </c>
      <c r="N7" s="4" t="n">
        <f aca="false">COUNTIFS('Diagram 1 Paths'!A:A,B7,'Diagram 1 Paths'!G:G,"Fail")</f>
        <v>0</v>
      </c>
    </row>
    <row r="8" customFormat="false" ht="15" hidden="false" customHeight="false" outlineLevel="0" collapsed="false">
      <c r="A8" s="4" t="n">
        <v>1</v>
      </c>
      <c r="B8" s="5" t="s">
        <v>22</v>
      </c>
      <c r="C8" s="4" t="s">
        <v>23</v>
      </c>
      <c r="D8" s="4" t="n">
        <v>5</v>
      </c>
      <c r="E8" s="4" t="n">
        <f aca="false">D8+1</f>
        <v>6</v>
      </c>
      <c r="F8" s="4" t="n">
        <v>18</v>
      </c>
      <c r="G8" s="4" t="n">
        <v>14</v>
      </c>
      <c r="H8" s="4" t="n">
        <f aca="false">F8-G8+2</f>
        <v>6</v>
      </c>
      <c r="I8" s="4" t="str">
        <f aca="false">IF(E8=H8,"OK","CHECK")</f>
        <v>OK</v>
      </c>
      <c r="J8" s="4" t="n">
        <f aca="false">COUNTIF('Diagram 1 Paths'!A:A,B8)</f>
        <v>6</v>
      </c>
      <c r="K8" s="4" t="n">
        <f aca="false">COUNTIFS('Diagram 1 Paths'!A:A,B8,'Diagram 1 Paths'!G:G,"Pass")</f>
        <v>5</v>
      </c>
      <c r="L8" s="4" t="n">
        <f aca="false">COUNTIFS('Diagram 1 Paths'!A:A,B8,'Diagram 1 Paths'!G:G,"No test")</f>
        <v>1</v>
      </c>
      <c r="M8" s="4" t="n">
        <f aca="false">COUNTIFS('Diagram 1 Paths'!A:A,B8,'Diagram 1 Paths'!G:G,"Infeasible")</f>
        <v>0</v>
      </c>
      <c r="N8" s="4" t="n">
        <f aca="false">COUNTIFS('Diagram 1 Paths'!A:A,B8,'Diagram 1 Paths'!G:G,"Fail")</f>
        <v>0</v>
      </c>
    </row>
    <row r="9" customFormat="false" ht="15" hidden="false" customHeight="false" outlineLevel="0" collapsed="false">
      <c r="A9" s="4" t="n">
        <v>1</v>
      </c>
      <c r="B9" s="5" t="s">
        <v>24</v>
      </c>
      <c r="C9" s="4" t="s">
        <v>25</v>
      </c>
      <c r="D9" s="4" t="n">
        <v>3</v>
      </c>
      <c r="E9" s="4" t="n">
        <f aca="false">D9+1</f>
        <v>4</v>
      </c>
      <c r="F9" s="4" t="n">
        <v>11</v>
      </c>
      <c r="G9" s="4" t="n">
        <v>9</v>
      </c>
      <c r="H9" s="4" t="n">
        <f aca="false">F9-G9+2</f>
        <v>4</v>
      </c>
      <c r="I9" s="4" t="str">
        <f aca="false">IF(E9=H9,"OK","CHECK")</f>
        <v>OK</v>
      </c>
      <c r="J9" s="4" t="n">
        <f aca="false">COUNTIF('Diagram 1 Paths'!A:A,B9)</f>
        <v>4</v>
      </c>
      <c r="K9" s="4" t="n">
        <f aca="false">COUNTIFS('Diagram 1 Paths'!A:A,B9,'Diagram 1 Paths'!G:G,"Pass")</f>
        <v>3</v>
      </c>
      <c r="L9" s="4" t="n">
        <f aca="false">COUNTIFS('Diagram 1 Paths'!A:A,B9,'Diagram 1 Paths'!G:G,"No test")</f>
        <v>1</v>
      </c>
      <c r="M9" s="4" t="n">
        <f aca="false">COUNTIFS('Diagram 1 Paths'!A:A,B9,'Diagram 1 Paths'!G:G,"Infeasible")</f>
        <v>0</v>
      </c>
      <c r="N9" s="4" t="n">
        <f aca="false">COUNTIFS('Diagram 1 Paths'!A:A,B9,'Diagram 1 Paths'!G:G,"Fail")</f>
        <v>0</v>
      </c>
    </row>
    <row r="10" customFormat="false" ht="15" hidden="false" customHeight="false" outlineLevel="0" collapsed="false">
      <c r="A10" s="4" t="n">
        <v>1</v>
      </c>
      <c r="B10" s="5" t="s">
        <v>26</v>
      </c>
      <c r="C10" s="4" t="s">
        <v>27</v>
      </c>
      <c r="D10" s="4" t="n">
        <v>17</v>
      </c>
      <c r="E10" s="4" t="n">
        <f aca="false">D10+1</f>
        <v>18</v>
      </c>
      <c r="F10" s="4" t="n">
        <v>50</v>
      </c>
      <c r="G10" s="4" t="n">
        <v>34</v>
      </c>
      <c r="H10" s="4" t="n">
        <f aca="false">F10-G10+2</f>
        <v>18</v>
      </c>
      <c r="I10" s="4" t="str">
        <f aca="false">IF(E10=H10,"OK","CHECK")</f>
        <v>OK</v>
      </c>
      <c r="J10" s="4" t="n">
        <f aca="false">COUNTIF('Diagram 1 Paths'!A:A,B10)</f>
        <v>18</v>
      </c>
      <c r="K10" s="4" t="n">
        <f aca="false">COUNTIFS('Diagram 1 Paths'!A:A,B10,'Diagram 1 Paths'!G:G,"Pass")</f>
        <v>15</v>
      </c>
      <c r="L10" s="4" t="n">
        <f aca="false">COUNTIFS('Diagram 1 Paths'!A:A,B10,'Diagram 1 Paths'!G:G,"No test")</f>
        <v>2</v>
      </c>
      <c r="M10" s="4" t="n">
        <f aca="false">COUNTIFS('Diagram 1 Paths'!A:A,B10,'Diagram 1 Paths'!G:G,"Infeasible")</f>
        <v>1</v>
      </c>
      <c r="N10" s="4" t="n">
        <f aca="false">COUNTIFS('Diagram 1 Paths'!A:A,B10,'Diagram 1 Paths'!G:G,"Fail")</f>
        <v>0</v>
      </c>
    </row>
    <row r="11" customFormat="false" ht="15" hidden="false" customHeight="false" outlineLevel="0" collapsed="false">
      <c r="A11" s="4" t="n">
        <v>2</v>
      </c>
      <c r="B11" s="5" t="s">
        <v>28</v>
      </c>
      <c r="C11" s="4" t="s">
        <v>29</v>
      </c>
      <c r="D11" s="4" t="n">
        <v>6</v>
      </c>
      <c r="E11" s="4" t="n">
        <f aca="false">D11+1</f>
        <v>7</v>
      </c>
      <c r="F11" s="4" t="n">
        <v>20</v>
      </c>
      <c r="G11" s="4" t="n">
        <v>15</v>
      </c>
      <c r="H11" s="4" t="n">
        <f aca="false">F11-G11+2</f>
        <v>7</v>
      </c>
      <c r="I11" s="4" t="str">
        <f aca="false">IF(E11=H11,"OK","CHECK")</f>
        <v>OK</v>
      </c>
      <c r="J11" s="4" t="n">
        <f aca="false">COUNTIF('Diagram 2 Paths'!A:A,B11)</f>
        <v>7</v>
      </c>
      <c r="K11" s="4" t="n">
        <f aca="false">COUNTIFS('Diagram 2 Paths'!A:A,B11,'Diagram 2 Paths'!G:G,"Pass")</f>
        <v>4</v>
      </c>
      <c r="L11" s="4" t="n">
        <f aca="false">COUNTIFS('Diagram 2 Paths'!A:A,B11,'Diagram 2 Paths'!G:G,"No test")</f>
        <v>3</v>
      </c>
      <c r="M11" s="4" t="n">
        <f aca="false">COUNTIFS('Diagram 2 Paths'!A:A,B11,'Diagram 2 Paths'!G:G,"Infeasible")</f>
        <v>0</v>
      </c>
      <c r="N11" s="4" t="n">
        <f aca="false">COUNTIFS('Diagram 2 Paths'!A:A,B11,'Diagram 2 Paths'!G:G,"Fail")</f>
        <v>0</v>
      </c>
    </row>
    <row r="12" customFormat="false" ht="15" hidden="false" customHeight="false" outlineLevel="0" collapsed="false">
      <c r="A12" s="4" t="n">
        <v>2</v>
      </c>
      <c r="B12" s="5" t="s">
        <v>30</v>
      </c>
      <c r="C12" s="4" t="s">
        <v>31</v>
      </c>
      <c r="D12" s="4" t="n">
        <v>3</v>
      </c>
      <c r="E12" s="4" t="n">
        <f aca="false">D12+1</f>
        <v>4</v>
      </c>
      <c r="F12" s="4" t="n">
        <v>12</v>
      </c>
      <c r="G12" s="4" t="n">
        <v>10</v>
      </c>
      <c r="H12" s="4" t="n">
        <f aca="false">F12-G12+2</f>
        <v>4</v>
      </c>
      <c r="I12" s="4" t="str">
        <f aca="false">IF(E12=H12,"OK","CHECK")</f>
        <v>OK</v>
      </c>
      <c r="J12" s="4" t="n">
        <f aca="false">COUNTIF('Diagram 2 Paths'!A:A,B12)</f>
        <v>4</v>
      </c>
      <c r="K12" s="4" t="n">
        <f aca="false">COUNTIFS('Diagram 2 Paths'!A:A,B12,'Diagram 2 Paths'!G:G,"Pass")</f>
        <v>4</v>
      </c>
      <c r="L12" s="4" t="n">
        <f aca="false">COUNTIFS('Diagram 2 Paths'!A:A,B12,'Diagram 2 Paths'!G:G,"No test")</f>
        <v>0</v>
      </c>
      <c r="M12" s="4" t="n">
        <f aca="false">COUNTIFS('Diagram 2 Paths'!A:A,B12,'Diagram 2 Paths'!G:G,"Infeasible")</f>
        <v>0</v>
      </c>
      <c r="N12" s="4" t="n">
        <f aca="false">COUNTIFS('Diagram 2 Paths'!A:A,B12,'Diagram 2 Paths'!G:G,"Fail")</f>
        <v>0</v>
      </c>
    </row>
    <row r="13" customFormat="false" ht="15" hidden="false" customHeight="false" outlineLevel="0" collapsed="false">
      <c r="A13" s="4" t="n">
        <v>2</v>
      </c>
      <c r="B13" s="5" t="s">
        <v>32</v>
      </c>
      <c r="C13" s="4" t="s">
        <v>33</v>
      </c>
      <c r="D13" s="4" t="n">
        <v>3</v>
      </c>
      <c r="E13" s="4" t="n">
        <f aca="false">D13+1</f>
        <v>4</v>
      </c>
      <c r="F13" s="4" t="n">
        <v>12</v>
      </c>
      <c r="G13" s="4" t="n">
        <v>10</v>
      </c>
      <c r="H13" s="4" t="n">
        <f aca="false">F13-G13+2</f>
        <v>4</v>
      </c>
      <c r="I13" s="4" t="str">
        <f aca="false">IF(E13=H13,"OK","CHECK")</f>
        <v>OK</v>
      </c>
      <c r="J13" s="4" t="n">
        <f aca="false">COUNTIF('Diagram 2 Paths'!A:A,B13)</f>
        <v>4</v>
      </c>
      <c r="K13" s="4" t="n">
        <f aca="false">COUNTIFS('Diagram 2 Paths'!A:A,B13,'Diagram 2 Paths'!G:G,"Pass")</f>
        <v>3</v>
      </c>
      <c r="L13" s="4" t="n">
        <f aca="false">COUNTIFS('Diagram 2 Paths'!A:A,B13,'Diagram 2 Paths'!G:G,"No test")</f>
        <v>1</v>
      </c>
      <c r="M13" s="4" t="n">
        <f aca="false">COUNTIFS('Diagram 2 Paths'!A:A,B13,'Diagram 2 Paths'!G:G,"Infeasible")</f>
        <v>0</v>
      </c>
      <c r="N13" s="4" t="n">
        <f aca="false">COUNTIFS('Diagram 2 Paths'!A:A,B13,'Diagram 2 Paths'!G:G,"Fail")</f>
        <v>0</v>
      </c>
    </row>
    <row r="14" customFormat="false" ht="15" hidden="false" customHeight="false" outlineLevel="0" collapsed="false">
      <c r="A14" s="4" t="n">
        <v>2</v>
      </c>
      <c r="B14" s="5" t="s">
        <v>34</v>
      </c>
      <c r="C14" s="4" t="s">
        <v>35</v>
      </c>
      <c r="D14" s="4" t="n">
        <v>4</v>
      </c>
      <c r="E14" s="4" t="n">
        <f aca="false">D14+1</f>
        <v>5</v>
      </c>
      <c r="F14" s="4" t="n">
        <v>13</v>
      </c>
      <c r="G14" s="4" t="n">
        <v>10</v>
      </c>
      <c r="H14" s="4" t="n">
        <f aca="false">F14-G14+2</f>
        <v>5</v>
      </c>
      <c r="I14" s="4" t="str">
        <f aca="false">IF(E14=H14,"OK","CHECK")</f>
        <v>OK</v>
      </c>
      <c r="J14" s="4" t="n">
        <f aca="false">COUNTIF('Diagram 2 Paths'!A:A,B14)</f>
        <v>5</v>
      </c>
      <c r="K14" s="4" t="n">
        <f aca="false">COUNTIFS('Diagram 2 Paths'!A:A,B14,'Diagram 2 Paths'!G:G,"Pass")</f>
        <v>3</v>
      </c>
      <c r="L14" s="4" t="n">
        <f aca="false">COUNTIFS('Diagram 2 Paths'!A:A,B14,'Diagram 2 Paths'!G:G,"No test")</f>
        <v>2</v>
      </c>
      <c r="M14" s="4" t="n">
        <f aca="false">COUNTIFS('Diagram 2 Paths'!A:A,B14,'Diagram 2 Paths'!G:G,"Infeasible")</f>
        <v>0</v>
      </c>
      <c r="N14" s="4" t="n">
        <f aca="false">COUNTIFS('Diagram 2 Paths'!A:A,B14,'Diagram 2 Paths'!G:G,"Fail")</f>
        <v>0</v>
      </c>
    </row>
    <row r="15" customFormat="false" ht="15" hidden="false" customHeight="false" outlineLevel="0" collapsed="false">
      <c r="A15" s="4" t="n">
        <v>2</v>
      </c>
      <c r="B15" s="5" t="s">
        <v>36</v>
      </c>
      <c r="C15" s="4" t="s">
        <v>37</v>
      </c>
      <c r="D15" s="4" t="n">
        <v>5</v>
      </c>
      <c r="E15" s="4" t="n">
        <f aca="false">D15+1</f>
        <v>6</v>
      </c>
      <c r="F15" s="4" t="n">
        <v>14</v>
      </c>
      <c r="G15" s="4" t="n">
        <v>10</v>
      </c>
      <c r="H15" s="4" t="n">
        <f aca="false">F15-G15+2</f>
        <v>6</v>
      </c>
      <c r="I15" s="4" t="str">
        <f aca="false">IF(E15=H15,"OK","CHECK")</f>
        <v>OK</v>
      </c>
      <c r="J15" s="4" t="n">
        <f aca="false">COUNTIF('Diagram 2 Paths'!A:A,B15)</f>
        <v>6</v>
      </c>
      <c r="K15" s="4" t="n">
        <f aca="false">COUNTIFS('Diagram 2 Paths'!A:A,B15,'Diagram 2 Paths'!G:G,"Pass")</f>
        <v>3</v>
      </c>
      <c r="L15" s="4" t="n">
        <f aca="false">COUNTIFS('Diagram 2 Paths'!A:A,B15,'Diagram 2 Paths'!G:G,"No test")</f>
        <v>2</v>
      </c>
      <c r="M15" s="4" t="n">
        <f aca="false">COUNTIFS('Diagram 2 Paths'!A:A,B15,'Diagram 2 Paths'!G:G,"Infeasible")</f>
        <v>1</v>
      </c>
      <c r="N15" s="4" t="n">
        <f aca="false">COUNTIFS('Diagram 2 Paths'!A:A,B15,'Diagram 2 Paths'!G:G,"Fail")</f>
        <v>0</v>
      </c>
    </row>
    <row r="16" customFormat="false" ht="15" hidden="false" customHeight="false" outlineLevel="0" collapsed="false">
      <c r="A16" s="4" t="n">
        <v>2</v>
      </c>
      <c r="B16" s="5" t="s">
        <v>38</v>
      </c>
      <c r="C16" s="4" t="s">
        <v>39</v>
      </c>
      <c r="D16" s="4" t="n">
        <v>6</v>
      </c>
      <c r="E16" s="4" t="n">
        <f aca="false">D16+1</f>
        <v>7</v>
      </c>
      <c r="F16" s="4" t="n">
        <v>19</v>
      </c>
      <c r="G16" s="4" t="n">
        <v>14</v>
      </c>
      <c r="H16" s="4" t="n">
        <f aca="false">F16-G16+2</f>
        <v>7</v>
      </c>
      <c r="I16" s="4" t="str">
        <f aca="false">IF(E16=H16,"OK","CHECK")</f>
        <v>OK</v>
      </c>
      <c r="J16" s="4" t="n">
        <f aca="false">COUNTIF('Diagram 2 Paths'!A:A,B16)</f>
        <v>7</v>
      </c>
      <c r="K16" s="4" t="n">
        <f aca="false">COUNTIFS('Diagram 2 Paths'!A:A,B16,'Diagram 2 Paths'!G:G,"Pass")</f>
        <v>5</v>
      </c>
      <c r="L16" s="4" t="n">
        <f aca="false">COUNTIFS('Diagram 2 Paths'!A:A,B16,'Diagram 2 Paths'!G:G,"No test")</f>
        <v>2</v>
      </c>
      <c r="M16" s="4" t="n">
        <f aca="false">COUNTIFS('Diagram 2 Paths'!A:A,B16,'Diagram 2 Paths'!G:G,"Infeasible")</f>
        <v>0</v>
      </c>
      <c r="N16" s="4" t="n">
        <f aca="false">COUNTIFS('Diagram 2 Paths'!A:A,B16,'Diagram 2 Paths'!G:G,"Fail")</f>
        <v>0</v>
      </c>
    </row>
    <row r="17" customFormat="false" ht="15" hidden="false" customHeight="false" outlineLevel="0" collapsed="false">
      <c r="A17" s="6"/>
      <c r="B17" s="7" t="s">
        <v>40</v>
      </c>
      <c r="C17" s="6"/>
      <c r="D17" s="6" t="n">
        <f aca="false">SUM(D5:D16)</f>
        <v>60</v>
      </c>
      <c r="E17" s="6" t="n">
        <f aca="false">SUM(E5:E16)</f>
        <v>72</v>
      </c>
      <c r="F17" s="6" t="n">
        <f aca="false">SUM(F5:F16)</f>
        <v>202</v>
      </c>
      <c r="G17" s="6" t="n">
        <f aca="false">SUM(G5:G16)</f>
        <v>154</v>
      </c>
      <c r="H17" s="6" t="n">
        <f aca="false">SUM(H5:H16)</f>
        <v>72</v>
      </c>
      <c r="I17" s="6"/>
      <c r="J17" s="6" t="n">
        <f aca="false">SUM(J5:J16)</f>
        <v>72</v>
      </c>
      <c r="K17" s="6" t="n">
        <f aca="false">SUM(K5:K16)</f>
        <v>54</v>
      </c>
      <c r="L17" s="6" t="n">
        <f aca="false">SUM(L5:L16)</f>
        <v>16</v>
      </c>
      <c r="M17" s="6" t="n">
        <f aca="false">SUM(M5:M16)</f>
        <v>2</v>
      </c>
      <c r="N17" s="6" t="n">
        <f aca="false">SUM(N5:N16)</f>
        <v>0</v>
      </c>
    </row>
    <row r="19" customFormat="false" ht="15" hidden="false" customHeight="false" outlineLevel="0" collapsed="false">
      <c r="A19" s="8" t="s">
        <v>41</v>
      </c>
      <c r="B19" s="9" t="s">
        <v>42</v>
      </c>
      <c r="E19" s="9" t="n">
        <f aca="false">SUMIF(A5:A16,1,E5:E16)</f>
        <v>39</v>
      </c>
    </row>
    <row r="20" customFormat="false" ht="15" hidden="false" customHeight="false" outlineLevel="0" collapsed="false">
      <c r="B20" s="9" t="s">
        <v>43</v>
      </c>
      <c r="E20" s="9" t="n">
        <f aca="false">SUMIF(A5:A16,2,E5:E16)</f>
        <v>33</v>
      </c>
    </row>
    <row r="22" customFormat="false" ht="15" hidden="false" customHeight="false" outlineLevel="0" collapsed="false">
      <c r="A22" s="8" t="s">
        <v>44</v>
      </c>
    </row>
    <row r="23" customFormat="false" ht="15" hidden="false" customHeight="false" outlineLevel="0" collapsed="false">
      <c r="A23" s="9" t="s">
        <v>45</v>
      </c>
    </row>
    <row r="24" customFormat="false" ht="15" hidden="false" customHeight="false" outlineLevel="0" collapsed="false">
      <c r="A24" s="9" t="s">
        <v>46</v>
      </c>
    </row>
    <row r="25" customFormat="false" ht="15" hidden="false" customHeight="false" outlineLevel="0" collapsed="false">
      <c r="A25" s="9" t="s">
        <v>47</v>
      </c>
    </row>
    <row r="26" customFormat="false" ht="15" hidden="false" customHeight="false" outlineLevel="0" collapsed="false">
      <c r="A26" s="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48"/>
    <col collapsed="false" customWidth="true" hidden="false" outlineLevel="0" max="5" min="4" style="0" width="30"/>
    <col collapsed="false" customWidth="true" hidden="false" outlineLevel="0" max="6" min="6" style="0" width="62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0" t="s">
        <v>49</v>
      </c>
    </row>
    <row r="3" customFormat="false" ht="15" hidden="false" customHeight="false" outlineLevel="0" collapsed="false">
      <c r="A3" s="3" t="s">
        <v>3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</row>
    <row r="4" customFormat="false" ht="30" hidden="false" customHeight="true" outlineLevel="0" collapsed="false">
      <c r="A4" s="5" t="s">
        <v>16</v>
      </c>
      <c r="B4" s="4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11" t="s">
        <v>62</v>
      </c>
      <c r="H4" s="5"/>
    </row>
    <row r="5" customFormat="false" ht="30" hidden="false" customHeight="true" outlineLevel="0" collapsed="false">
      <c r="A5" s="5" t="s">
        <v>16</v>
      </c>
      <c r="B5" s="4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11" t="s">
        <v>62</v>
      </c>
      <c r="H5" s="5"/>
    </row>
    <row r="6" customFormat="false" ht="30" hidden="false" customHeight="true" outlineLevel="0" collapsed="false">
      <c r="A6" s="5" t="s">
        <v>18</v>
      </c>
      <c r="B6" s="4" t="s">
        <v>57</v>
      </c>
      <c r="C6" s="5" t="s">
        <v>58</v>
      </c>
      <c r="D6" s="5" t="s">
        <v>68</v>
      </c>
      <c r="E6" s="5" t="s">
        <v>69</v>
      </c>
      <c r="F6" s="5" t="s">
        <v>70</v>
      </c>
      <c r="G6" s="11" t="s">
        <v>62</v>
      </c>
      <c r="H6" s="5"/>
    </row>
    <row r="7" customFormat="false" ht="30" hidden="false" customHeight="true" outlineLevel="0" collapsed="false">
      <c r="A7" s="5" t="s">
        <v>18</v>
      </c>
      <c r="B7" s="4" t="s">
        <v>63</v>
      </c>
      <c r="C7" s="5" t="s">
        <v>71</v>
      </c>
      <c r="D7" s="5" t="s">
        <v>72</v>
      </c>
      <c r="E7" s="5" t="s">
        <v>73</v>
      </c>
      <c r="F7" s="5" t="s">
        <v>74</v>
      </c>
      <c r="G7" s="11" t="s">
        <v>62</v>
      </c>
      <c r="H7" s="5"/>
    </row>
    <row r="8" customFormat="false" ht="30" hidden="false" customHeight="true" outlineLevel="0" collapsed="false">
      <c r="A8" s="5" t="s">
        <v>18</v>
      </c>
      <c r="B8" s="4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11" t="s">
        <v>62</v>
      </c>
      <c r="H8" s="5"/>
    </row>
    <row r="9" customFormat="false" ht="42" hidden="false" customHeight="true" outlineLevel="0" collapsed="false">
      <c r="A9" s="5" t="s">
        <v>18</v>
      </c>
      <c r="B9" s="4" t="s">
        <v>80</v>
      </c>
      <c r="C9" s="5" t="s">
        <v>81</v>
      </c>
      <c r="D9" s="5" t="s">
        <v>82</v>
      </c>
      <c r="E9" s="5" t="s">
        <v>83</v>
      </c>
      <c r="F9" s="5" t="s">
        <v>84</v>
      </c>
      <c r="G9" s="12" t="s">
        <v>13</v>
      </c>
      <c r="H9" s="5" t="s">
        <v>85</v>
      </c>
    </row>
    <row r="10" customFormat="false" ht="30" hidden="false" customHeight="true" outlineLevel="0" collapsed="false">
      <c r="A10" s="5" t="s">
        <v>18</v>
      </c>
      <c r="B10" s="4" t="s">
        <v>86</v>
      </c>
      <c r="C10" s="5" t="s">
        <v>87</v>
      </c>
      <c r="D10" s="5" t="s">
        <v>88</v>
      </c>
      <c r="E10" s="5" t="s">
        <v>89</v>
      </c>
      <c r="F10" s="5" t="s">
        <v>90</v>
      </c>
      <c r="G10" s="11" t="s">
        <v>62</v>
      </c>
      <c r="H10" s="5" t="s">
        <v>91</v>
      </c>
    </row>
    <row r="11" customFormat="false" ht="30" hidden="false" customHeight="true" outlineLevel="0" collapsed="false">
      <c r="A11" s="5" t="s">
        <v>20</v>
      </c>
      <c r="B11" s="4" t="s">
        <v>57</v>
      </c>
      <c r="C11" s="5" t="s">
        <v>58</v>
      </c>
      <c r="D11" s="5" t="s">
        <v>92</v>
      </c>
      <c r="E11" s="5" t="s">
        <v>93</v>
      </c>
      <c r="F11" s="5" t="s">
        <v>94</v>
      </c>
      <c r="G11" s="11" t="s">
        <v>62</v>
      </c>
      <c r="H11" s="5"/>
    </row>
    <row r="12" customFormat="false" ht="30" hidden="false" customHeight="true" outlineLevel="0" collapsed="false">
      <c r="A12" s="5" t="s">
        <v>20</v>
      </c>
      <c r="B12" s="4" t="s">
        <v>63</v>
      </c>
      <c r="C12" s="5" t="s">
        <v>95</v>
      </c>
      <c r="D12" s="5" t="s">
        <v>96</v>
      </c>
      <c r="E12" s="5" t="s">
        <v>97</v>
      </c>
      <c r="F12" s="5" t="s">
        <v>98</v>
      </c>
      <c r="G12" s="11" t="s">
        <v>62</v>
      </c>
      <c r="H12" s="5"/>
    </row>
    <row r="13" customFormat="false" ht="30" hidden="false" customHeight="true" outlineLevel="0" collapsed="false">
      <c r="A13" s="5" t="s">
        <v>20</v>
      </c>
      <c r="B13" s="4" t="s">
        <v>75</v>
      </c>
      <c r="C13" s="5" t="s">
        <v>99</v>
      </c>
      <c r="D13" s="5" t="s">
        <v>100</v>
      </c>
      <c r="E13" s="5" t="s">
        <v>101</v>
      </c>
      <c r="F13" s="5" t="s">
        <v>84</v>
      </c>
      <c r="G13" s="12" t="s">
        <v>13</v>
      </c>
      <c r="H13" s="5" t="s">
        <v>102</v>
      </c>
    </row>
    <row r="14" customFormat="false" ht="30" hidden="false" customHeight="true" outlineLevel="0" collapsed="false">
      <c r="A14" s="5" t="s">
        <v>20</v>
      </c>
      <c r="B14" s="4" t="s">
        <v>80</v>
      </c>
      <c r="C14" s="5" t="s">
        <v>103</v>
      </c>
      <c r="D14" s="5" t="s">
        <v>104</v>
      </c>
      <c r="E14" s="5" t="s">
        <v>101</v>
      </c>
      <c r="F14" s="5" t="s">
        <v>105</v>
      </c>
      <c r="G14" s="11" t="s">
        <v>62</v>
      </c>
      <c r="H14" s="5"/>
    </row>
    <row r="15" customFormat="false" ht="30" hidden="false" customHeight="true" outlineLevel="0" collapsed="false">
      <c r="A15" s="5" t="s">
        <v>22</v>
      </c>
      <c r="B15" s="4" t="s">
        <v>57</v>
      </c>
      <c r="C15" s="5" t="s">
        <v>106</v>
      </c>
      <c r="D15" s="5" t="s">
        <v>107</v>
      </c>
      <c r="E15" s="5" t="s">
        <v>93</v>
      </c>
      <c r="F15" s="5" t="s">
        <v>108</v>
      </c>
      <c r="G15" s="11" t="s">
        <v>62</v>
      </c>
      <c r="H15" s="5"/>
    </row>
    <row r="16" customFormat="false" ht="30" hidden="false" customHeight="true" outlineLevel="0" collapsed="false">
      <c r="A16" s="5" t="s">
        <v>22</v>
      </c>
      <c r="B16" s="4" t="s">
        <v>63</v>
      </c>
      <c r="C16" s="5" t="s">
        <v>109</v>
      </c>
      <c r="D16" s="5" t="s">
        <v>68</v>
      </c>
      <c r="E16" s="5" t="s">
        <v>101</v>
      </c>
      <c r="F16" s="5" t="s">
        <v>110</v>
      </c>
      <c r="G16" s="11" t="s">
        <v>62</v>
      </c>
      <c r="H16" s="5"/>
    </row>
    <row r="17" customFormat="false" ht="30" hidden="false" customHeight="true" outlineLevel="0" collapsed="false">
      <c r="A17" s="5" t="s">
        <v>22</v>
      </c>
      <c r="B17" s="4" t="s">
        <v>75</v>
      </c>
      <c r="C17" s="5" t="s">
        <v>111</v>
      </c>
      <c r="D17" s="5" t="s">
        <v>72</v>
      </c>
      <c r="E17" s="5" t="s">
        <v>73</v>
      </c>
      <c r="F17" s="5" t="s">
        <v>84</v>
      </c>
      <c r="G17" s="12" t="s">
        <v>13</v>
      </c>
      <c r="H17" s="5" t="s">
        <v>112</v>
      </c>
    </row>
    <row r="18" customFormat="false" ht="30" hidden="false" customHeight="true" outlineLevel="0" collapsed="false">
      <c r="A18" s="5" t="s">
        <v>22</v>
      </c>
      <c r="B18" s="4" t="s">
        <v>80</v>
      </c>
      <c r="C18" s="5" t="s">
        <v>113</v>
      </c>
      <c r="D18" s="5" t="s">
        <v>77</v>
      </c>
      <c r="E18" s="5" t="s">
        <v>78</v>
      </c>
      <c r="F18" s="5" t="s">
        <v>114</v>
      </c>
      <c r="G18" s="11" t="s">
        <v>62</v>
      </c>
      <c r="H18" s="5"/>
    </row>
    <row r="19" customFormat="false" ht="30" hidden="false" customHeight="true" outlineLevel="0" collapsed="false">
      <c r="A19" s="5" t="s">
        <v>22</v>
      </c>
      <c r="B19" s="4" t="s">
        <v>86</v>
      </c>
      <c r="C19" s="5" t="s">
        <v>115</v>
      </c>
      <c r="D19" s="5" t="s">
        <v>82</v>
      </c>
      <c r="E19" s="5" t="s">
        <v>83</v>
      </c>
      <c r="F19" s="5" t="s">
        <v>116</v>
      </c>
      <c r="G19" s="11" t="s">
        <v>62</v>
      </c>
      <c r="H19" s="5"/>
    </row>
    <row r="20" customFormat="false" ht="30" hidden="false" customHeight="true" outlineLevel="0" collapsed="false">
      <c r="A20" s="5" t="s">
        <v>22</v>
      </c>
      <c r="B20" s="4" t="s">
        <v>117</v>
      </c>
      <c r="C20" s="5" t="s">
        <v>118</v>
      </c>
      <c r="D20" s="5" t="s">
        <v>88</v>
      </c>
      <c r="E20" s="5" t="s">
        <v>89</v>
      </c>
      <c r="F20" s="5" t="s">
        <v>119</v>
      </c>
      <c r="G20" s="11" t="s">
        <v>62</v>
      </c>
      <c r="H20" s="5"/>
    </row>
    <row r="21" customFormat="false" ht="30" hidden="false" customHeight="true" outlineLevel="0" collapsed="false">
      <c r="A21" s="5" t="s">
        <v>24</v>
      </c>
      <c r="B21" s="4" t="s">
        <v>57</v>
      </c>
      <c r="C21" s="5" t="s">
        <v>58</v>
      </c>
      <c r="D21" s="5" t="s">
        <v>92</v>
      </c>
      <c r="E21" s="5" t="s">
        <v>93</v>
      </c>
      <c r="F21" s="5" t="s">
        <v>120</v>
      </c>
      <c r="G21" s="11" t="s">
        <v>62</v>
      </c>
      <c r="H21" s="5"/>
    </row>
    <row r="22" customFormat="false" ht="30" hidden="false" customHeight="true" outlineLevel="0" collapsed="false">
      <c r="A22" s="5" t="s">
        <v>24</v>
      </c>
      <c r="B22" s="4" t="s">
        <v>63</v>
      </c>
      <c r="C22" s="5" t="s">
        <v>95</v>
      </c>
      <c r="D22" s="5" t="s">
        <v>96</v>
      </c>
      <c r="E22" s="5" t="s">
        <v>97</v>
      </c>
      <c r="F22" s="5" t="s">
        <v>121</v>
      </c>
      <c r="G22" s="11" t="s">
        <v>62</v>
      </c>
      <c r="H22" s="5"/>
    </row>
    <row r="23" customFormat="false" ht="30" hidden="false" customHeight="true" outlineLevel="0" collapsed="false">
      <c r="A23" s="5" t="s">
        <v>24</v>
      </c>
      <c r="B23" s="4" t="s">
        <v>75</v>
      </c>
      <c r="C23" s="5" t="s">
        <v>99</v>
      </c>
      <c r="D23" s="5" t="s">
        <v>100</v>
      </c>
      <c r="E23" s="5" t="s">
        <v>122</v>
      </c>
      <c r="F23" s="5" t="s">
        <v>84</v>
      </c>
      <c r="G23" s="12" t="s">
        <v>13</v>
      </c>
      <c r="H23" s="5" t="s">
        <v>123</v>
      </c>
    </row>
    <row r="24" customFormat="false" ht="30" hidden="false" customHeight="true" outlineLevel="0" collapsed="false">
      <c r="A24" s="5" t="s">
        <v>24</v>
      </c>
      <c r="B24" s="4" t="s">
        <v>80</v>
      </c>
      <c r="C24" s="5" t="s">
        <v>103</v>
      </c>
      <c r="D24" s="5" t="s">
        <v>104</v>
      </c>
      <c r="E24" s="5" t="s">
        <v>122</v>
      </c>
      <c r="F24" s="5" t="s">
        <v>124</v>
      </c>
      <c r="G24" s="11" t="s">
        <v>62</v>
      </c>
      <c r="H24" s="5"/>
    </row>
    <row r="25" customFormat="false" ht="42" hidden="false" customHeight="true" outlineLevel="0" collapsed="false">
      <c r="A25" s="5" t="s">
        <v>26</v>
      </c>
      <c r="B25" s="4" t="s">
        <v>57</v>
      </c>
      <c r="C25" s="5" t="s">
        <v>125</v>
      </c>
      <c r="D25" s="5" t="s">
        <v>126</v>
      </c>
      <c r="E25" s="5" t="s">
        <v>127</v>
      </c>
      <c r="F25" s="5" t="s">
        <v>128</v>
      </c>
      <c r="G25" s="11" t="s">
        <v>62</v>
      </c>
      <c r="H25" s="5" t="s">
        <v>129</v>
      </c>
    </row>
    <row r="26" customFormat="false" ht="42" hidden="false" customHeight="true" outlineLevel="0" collapsed="false">
      <c r="A26" s="5" t="s">
        <v>26</v>
      </c>
      <c r="B26" s="4" t="s">
        <v>63</v>
      </c>
      <c r="C26" s="5" t="s">
        <v>130</v>
      </c>
      <c r="D26" s="5" t="s">
        <v>131</v>
      </c>
      <c r="E26" s="5" t="s">
        <v>132</v>
      </c>
      <c r="F26" s="5" t="s">
        <v>133</v>
      </c>
      <c r="G26" s="11" t="s">
        <v>62</v>
      </c>
      <c r="H26" s="5"/>
    </row>
    <row r="27" customFormat="false" ht="42" hidden="false" customHeight="true" outlineLevel="0" collapsed="false">
      <c r="A27" s="5" t="s">
        <v>26</v>
      </c>
      <c r="B27" s="4" t="s">
        <v>75</v>
      </c>
      <c r="C27" s="5" t="s">
        <v>134</v>
      </c>
      <c r="D27" s="5" t="s">
        <v>135</v>
      </c>
      <c r="E27" s="5" t="s">
        <v>132</v>
      </c>
      <c r="F27" s="5" t="s">
        <v>136</v>
      </c>
      <c r="G27" s="11" t="s">
        <v>62</v>
      </c>
      <c r="H27" s="5"/>
    </row>
    <row r="28" customFormat="false" ht="30" hidden="false" customHeight="true" outlineLevel="0" collapsed="false">
      <c r="A28" s="5" t="s">
        <v>26</v>
      </c>
      <c r="B28" s="4" t="s">
        <v>80</v>
      </c>
      <c r="C28" s="5" t="s">
        <v>137</v>
      </c>
      <c r="D28" s="5" t="s">
        <v>138</v>
      </c>
      <c r="E28" s="5" t="s">
        <v>132</v>
      </c>
      <c r="F28" s="5" t="s">
        <v>139</v>
      </c>
      <c r="G28" s="11" t="s">
        <v>62</v>
      </c>
      <c r="H28" s="5" t="s">
        <v>140</v>
      </c>
    </row>
    <row r="29" customFormat="false" ht="30" hidden="false" customHeight="true" outlineLevel="0" collapsed="false">
      <c r="A29" s="5" t="s">
        <v>26</v>
      </c>
      <c r="B29" s="4" t="s">
        <v>86</v>
      </c>
      <c r="C29" s="5" t="s">
        <v>141</v>
      </c>
      <c r="D29" s="5" t="s">
        <v>142</v>
      </c>
      <c r="E29" s="5" t="s">
        <v>132</v>
      </c>
      <c r="F29" s="5" t="s">
        <v>143</v>
      </c>
      <c r="G29" s="11" t="s">
        <v>62</v>
      </c>
      <c r="H29" s="5" t="s">
        <v>144</v>
      </c>
    </row>
    <row r="30" customFormat="false" ht="30" hidden="false" customHeight="true" outlineLevel="0" collapsed="false">
      <c r="A30" s="5" t="s">
        <v>26</v>
      </c>
      <c r="B30" s="4" t="s">
        <v>117</v>
      </c>
      <c r="C30" s="5" t="s">
        <v>145</v>
      </c>
      <c r="D30" s="5" t="s">
        <v>92</v>
      </c>
      <c r="E30" s="5" t="s">
        <v>93</v>
      </c>
      <c r="F30" s="5" t="s">
        <v>146</v>
      </c>
      <c r="G30" s="11" t="s">
        <v>62</v>
      </c>
      <c r="H30" s="5"/>
    </row>
    <row r="31" customFormat="false" ht="30" hidden="false" customHeight="true" outlineLevel="0" collapsed="false">
      <c r="A31" s="5" t="s">
        <v>26</v>
      </c>
      <c r="B31" s="4" t="s">
        <v>147</v>
      </c>
      <c r="C31" s="5" t="s">
        <v>148</v>
      </c>
      <c r="D31" s="5" t="s">
        <v>96</v>
      </c>
      <c r="E31" s="5" t="s">
        <v>97</v>
      </c>
      <c r="F31" s="5" t="s">
        <v>149</v>
      </c>
      <c r="G31" s="11" t="s">
        <v>62</v>
      </c>
      <c r="H31" s="5"/>
    </row>
    <row r="32" customFormat="false" ht="42" hidden="false" customHeight="true" outlineLevel="0" collapsed="false">
      <c r="A32" s="5" t="s">
        <v>26</v>
      </c>
      <c r="B32" s="4" t="s">
        <v>150</v>
      </c>
      <c r="C32" s="5" t="s">
        <v>151</v>
      </c>
      <c r="D32" s="5" t="s">
        <v>104</v>
      </c>
      <c r="E32" s="5" t="s">
        <v>152</v>
      </c>
      <c r="F32" s="5" t="s">
        <v>153</v>
      </c>
      <c r="G32" s="11" t="s">
        <v>62</v>
      </c>
      <c r="H32" s="5"/>
    </row>
    <row r="33" customFormat="false" ht="30" hidden="false" customHeight="true" outlineLevel="0" collapsed="false">
      <c r="A33" s="5" t="s">
        <v>26</v>
      </c>
      <c r="B33" s="4" t="s">
        <v>154</v>
      </c>
      <c r="C33" s="5" t="s">
        <v>155</v>
      </c>
      <c r="D33" s="5" t="s">
        <v>156</v>
      </c>
      <c r="E33" s="5" t="s">
        <v>132</v>
      </c>
      <c r="F33" s="5" t="s">
        <v>157</v>
      </c>
      <c r="G33" s="11" t="s">
        <v>62</v>
      </c>
      <c r="H33" s="5"/>
    </row>
    <row r="34" customFormat="false" ht="55.5" hidden="false" customHeight="true" outlineLevel="0" collapsed="false">
      <c r="A34" s="5" t="s">
        <v>26</v>
      </c>
      <c r="B34" s="4" t="s">
        <v>158</v>
      </c>
      <c r="C34" s="5" t="s">
        <v>159</v>
      </c>
      <c r="D34" s="5" t="s">
        <v>160</v>
      </c>
      <c r="E34" s="5" t="s">
        <v>152</v>
      </c>
      <c r="F34" s="5" t="s">
        <v>161</v>
      </c>
      <c r="G34" s="11" t="s">
        <v>62</v>
      </c>
      <c r="H34" s="5"/>
    </row>
    <row r="35" customFormat="false" ht="55.5" hidden="false" customHeight="true" outlineLevel="0" collapsed="false">
      <c r="A35" s="5" t="s">
        <v>26</v>
      </c>
      <c r="B35" s="4" t="s">
        <v>162</v>
      </c>
      <c r="C35" s="5" t="s">
        <v>163</v>
      </c>
      <c r="D35" s="5" t="s">
        <v>164</v>
      </c>
      <c r="E35" s="5" t="s">
        <v>152</v>
      </c>
      <c r="F35" s="5" t="s">
        <v>165</v>
      </c>
      <c r="G35" s="11" t="s">
        <v>62</v>
      </c>
      <c r="H35" s="5"/>
    </row>
    <row r="36" customFormat="false" ht="42" hidden="false" customHeight="true" outlineLevel="0" collapsed="false">
      <c r="A36" s="5" t="s">
        <v>26</v>
      </c>
      <c r="B36" s="4" t="s">
        <v>166</v>
      </c>
      <c r="C36" s="5" t="s">
        <v>167</v>
      </c>
      <c r="D36" s="5" t="s">
        <v>168</v>
      </c>
      <c r="E36" s="5" t="s">
        <v>132</v>
      </c>
      <c r="F36" s="5" t="s">
        <v>169</v>
      </c>
      <c r="G36" s="11" t="s">
        <v>62</v>
      </c>
      <c r="H36" s="5"/>
    </row>
    <row r="37" customFormat="false" ht="42" hidden="false" customHeight="true" outlineLevel="0" collapsed="false">
      <c r="A37" s="5" t="s">
        <v>26</v>
      </c>
      <c r="B37" s="4" t="s">
        <v>170</v>
      </c>
      <c r="C37" s="5" t="s">
        <v>171</v>
      </c>
      <c r="D37" s="5" t="s">
        <v>172</v>
      </c>
      <c r="E37" s="5" t="s">
        <v>132</v>
      </c>
      <c r="F37" s="5" t="s">
        <v>173</v>
      </c>
      <c r="G37" s="11" t="s">
        <v>62</v>
      </c>
      <c r="H37" s="5"/>
    </row>
    <row r="38" customFormat="false" ht="55.5" hidden="false" customHeight="true" outlineLevel="0" collapsed="false">
      <c r="A38" s="5" t="s">
        <v>26</v>
      </c>
      <c r="B38" s="4" t="s">
        <v>174</v>
      </c>
      <c r="C38" s="5" t="s">
        <v>175</v>
      </c>
      <c r="D38" s="5" t="s">
        <v>176</v>
      </c>
      <c r="E38" s="5" t="s">
        <v>152</v>
      </c>
      <c r="F38" s="5" t="s">
        <v>177</v>
      </c>
      <c r="G38" s="11" t="s">
        <v>62</v>
      </c>
      <c r="H38" s="5"/>
    </row>
    <row r="39" customFormat="false" ht="42" hidden="false" customHeight="true" outlineLevel="0" collapsed="false">
      <c r="A39" s="5" t="s">
        <v>26</v>
      </c>
      <c r="B39" s="4" t="s">
        <v>178</v>
      </c>
      <c r="C39" s="5" t="s">
        <v>179</v>
      </c>
      <c r="D39" s="5" t="s">
        <v>180</v>
      </c>
      <c r="E39" s="5" t="s">
        <v>132</v>
      </c>
      <c r="F39" s="5" t="s">
        <v>181</v>
      </c>
      <c r="G39" s="11" t="s">
        <v>62</v>
      </c>
      <c r="H39" s="5" t="s">
        <v>182</v>
      </c>
    </row>
    <row r="40" customFormat="false" ht="42" hidden="false" customHeight="true" outlineLevel="0" collapsed="false">
      <c r="A40" s="5" t="s">
        <v>26</v>
      </c>
      <c r="B40" s="4" t="s">
        <v>183</v>
      </c>
      <c r="C40" s="5" t="s">
        <v>184</v>
      </c>
      <c r="D40" s="5" t="s">
        <v>185</v>
      </c>
      <c r="E40" s="5" t="s">
        <v>186</v>
      </c>
      <c r="F40" s="5" t="s">
        <v>84</v>
      </c>
      <c r="G40" s="12" t="s">
        <v>13</v>
      </c>
      <c r="H40" s="5" t="s">
        <v>187</v>
      </c>
    </row>
    <row r="41" customFormat="false" ht="42" hidden="false" customHeight="true" outlineLevel="0" collapsed="false">
      <c r="A41" s="5" t="s">
        <v>26</v>
      </c>
      <c r="B41" s="4" t="s">
        <v>188</v>
      </c>
      <c r="C41" s="5" t="s">
        <v>189</v>
      </c>
      <c r="D41" s="5" t="s">
        <v>190</v>
      </c>
      <c r="E41" s="5" t="s">
        <v>132</v>
      </c>
      <c r="F41" s="5" t="s">
        <v>84</v>
      </c>
      <c r="G41" s="12" t="s">
        <v>13</v>
      </c>
      <c r="H41" s="5" t="s">
        <v>191</v>
      </c>
    </row>
    <row r="42" customFormat="false" ht="55.5" hidden="false" customHeight="true" outlineLevel="0" collapsed="false">
      <c r="A42" s="5" t="s">
        <v>26</v>
      </c>
      <c r="B42" s="4" t="s">
        <v>192</v>
      </c>
      <c r="C42" s="5" t="s">
        <v>193</v>
      </c>
      <c r="D42" s="5" t="s">
        <v>194</v>
      </c>
      <c r="E42" s="5" t="s">
        <v>195</v>
      </c>
      <c r="F42" s="5" t="s">
        <v>84</v>
      </c>
      <c r="G42" s="13" t="s">
        <v>14</v>
      </c>
      <c r="H42" s="5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48"/>
    <col collapsed="false" customWidth="true" hidden="false" outlineLevel="0" max="5" min="4" style="0" width="30"/>
    <col collapsed="false" customWidth="true" hidden="false" outlineLevel="0" max="6" min="6" style="0" width="62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0" t="s">
        <v>197</v>
      </c>
    </row>
    <row r="3" customFormat="false" ht="15" hidden="false" customHeight="false" outlineLevel="0" collapsed="false">
      <c r="A3" s="3" t="s">
        <v>3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</row>
    <row r="4" customFormat="false" ht="30" hidden="false" customHeight="true" outlineLevel="0" collapsed="false">
      <c r="A4" s="5" t="s">
        <v>28</v>
      </c>
      <c r="B4" s="4" t="s">
        <v>57</v>
      </c>
      <c r="C4" s="5" t="s">
        <v>198</v>
      </c>
      <c r="D4" s="5" t="s">
        <v>199</v>
      </c>
      <c r="E4" s="5" t="s">
        <v>200</v>
      </c>
      <c r="F4" s="5" t="s">
        <v>84</v>
      </c>
      <c r="G4" s="12" t="s">
        <v>13</v>
      </c>
      <c r="H4" s="5" t="s">
        <v>201</v>
      </c>
    </row>
    <row r="5" customFormat="false" ht="30" hidden="false" customHeight="true" outlineLevel="0" collapsed="false">
      <c r="A5" s="5" t="s">
        <v>28</v>
      </c>
      <c r="B5" s="4" t="s">
        <v>63</v>
      </c>
      <c r="C5" s="5" t="s">
        <v>58</v>
      </c>
      <c r="D5" s="5" t="s">
        <v>202</v>
      </c>
      <c r="E5" s="5" t="s">
        <v>93</v>
      </c>
      <c r="F5" s="5" t="s">
        <v>203</v>
      </c>
      <c r="G5" s="11" t="s">
        <v>62</v>
      </c>
      <c r="H5" s="5"/>
    </row>
    <row r="6" customFormat="false" ht="30" hidden="false" customHeight="true" outlineLevel="0" collapsed="false">
      <c r="A6" s="5" t="s">
        <v>28</v>
      </c>
      <c r="B6" s="4" t="s">
        <v>75</v>
      </c>
      <c r="C6" s="5" t="s">
        <v>204</v>
      </c>
      <c r="D6" s="5" t="s">
        <v>92</v>
      </c>
      <c r="E6" s="5" t="s">
        <v>97</v>
      </c>
      <c r="F6" s="5" t="s">
        <v>84</v>
      </c>
      <c r="G6" s="12" t="s">
        <v>13</v>
      </c>
      <c r="H6" s="5" t="s">
        <v>13</v>
      </c>
    </row>
    <row r="7" customFormat="false" ht="30" hidden="false" customHeight="true" outlineLevel="0" collapsed="false">
      <c r="A7" s="5" t="s">
        <v>28</v>
      </c>
      <c r="B7" s="4" t="s">
        <v>80</v>
      </c>
      <c r="C7" s="5" t="s">
        <v>205</v>
      </c>
      <c r="D7" s="5" t="s">
        <v>96</v>
      </c>
      <c r="E7" s="5" t="s">
        <v>97</v>
      </c>
      <c r="F7" s="5" t="s">
        <v>206</v>
      </c>
      <c r="G7" s="11" t="s">
        <v>62</v>
      </c>
      <c r="H7" s="5"/>
    </row>
    <row r="8" customFormat="false" ht="30" hidden="false" customHeight="true" outlineLevel="0" collapsed="false">
      <c r="A8" s="5" t="s">
        <v>28</v>
      </c>
      <c r="B8" s="4" t="s">
        <v>86</v>
      </c>
      <c r="C8" s="5" t="s">
        <v>207</v>
      </c>
      <c r="D8" s="5" t="s">
        <v>104</v>
      </c>
      <c r="E8" s="5" t="s">
        <v>200</v>
      </c>
      <c r="F8" s="5" t="s">
        <v>208</v>
      </c>
      <c r="G8" s="11" t="s">
        <v>62</v>
      </c>
      <c r="H8" s="5"/>
    </row>
    <row r="9" customFormat="false" ht="30" hidden="false" customHeight="true" outlineLevel="0" collapsed="false">
      <c r="A9" s="5" t="s">
        <v>28</v>
      </c>
      <c r="B9" s="4" t="s">
        <v>117</v>
      </c>
      <c r="C9" s="5" t="s">
        <v>209</v>
      </c>
      <c r="D9" s="5" t="s">
        <v>210</v>
      </c>
      <c r="E9" s="5" t="s">
        <v>97</v>
      </c>
      <c r="F9" s="5" t="s">
        <v>211</v>
      </c>
      <c r="G9" s="11" t="s">
        <v>62</v>
      </c>
      <c r="H9" s="5"/>
    </row>
    <row r="10" customFormat="false" ht="30" hidden="false" customHeight="true" outlineLevel="0" collapsed="false">
      <c r="A10" s="5" t="s">
        <v>28</v>
      </c>
      <c r="B10" s="4" t="s">
        <v>147</v>
      </c>
      <c r="C10" s="5" t="s">
        <v>212</v>
      </c>
      <c r="D10" s="5" t="s">
        <v>190</v>
      </c>
      <c r="E10" s="5" t="s">
        <v>132</v>
      </c>
      <c r="F10" s="5" t="s">
        <v>84</v>
      </c>
      <c r="G10" s="12" t="s">
        <v>13</v>
      </c>
      <c r="H10" s="5" t="s">
        <v>213</v>
      </c>
    </row>
    <row r="11" customFormat="false" ht="30" hidden="false" customHeight="true" outlineLevel="0" collapsed="false">
      <c r="A11" s="5" t="s">
        <v>30</v>
      </c>
      <c r="B11" s="4" t="s">
        <v>57</v>
      </c>
      <c r="C11" s="5" t="s">
        <v>58</v>
      </c>
      <c r="D11" s="5" t="s">
        <v>92</v>
      </c>
      <c r="E11" s="5" t="s">
        <v>93</v>
      </c>
      <c r="F11" s="5" t="s">
        <v>214</v>
      </c>
      <c r="G11" s="11" t="s">
        <v>62</v>
      </c>
      <c r="H11" s="5"/>
    </row>
    <row r="12" customFormat="false" ht="30" hidden="false" customHeight="true" outlineLevel="0" collapsed="false">
      <c r="A12" s="5" t="s">
        <v>30</v>
      </c>
      <c r="B12" s="4" t="s">
        <v>63</v>
      </c>
      <c r="C12" s="5" t="s">
        <v>95</v>
      </c>
      <c r="D12" s="5" t="s">
        <v>96</v>
      </c>
      <c r="E12" s="5" t="s">
        <v>97</v>
      </c>
      <c r="F12" s="5" t="s">
        <v>215</v>
      </c>
      <c r="G12" s="11" t="s">
        <v>62</v>
      </c>
      <c r="H12" s="5"/>
    </row>
    <row r="13" customFormat="false" ht="30" hidden="false" customHeight="true" outlineLevel="0" collapsed="false">
      <c r="A13" s="5" t="s">
        <v>30</v>
      </c>
      <c r="B13" s="4" t="s">
        <v>75</v>
      </c>
      <c r="C13" s="5" t="s">
        <v>216</v>
      </c>
      <c r="D13" s="5" t="s">
        <v>100</v>
      </c>
      <c r="E13" s="5" t="s">
        <v>217</v>
      </c>
      <c r="F13" s="5" t="s">
        <v>218</v>
      </c>
      <c r="G13" s="11" t="s">
        <v>62</v>
      </c>
      <c r="H13" s="5"/>
    </row>
    <row r="14" customFormat="false" ht="30" hidden="false" customHeight="true" outlineLevel="0" collapsed="false">
      <c r="A14" s="5" t="s">
        <v>30</v>
      </c>
      <c r="B14" s="4" t="s">
        <v>80</v>
      </c>
      <c r="C14" s="5" t="s">
        <v>219</v>
      </c>
      <c r="D14" s="5" t="s">
        <v>104</v>
      </c>
      <c r="E14" s="5" t="s">
        <v>220</v>
      </c>
      <c r="F14" s="5" t="s">
        <v>221</v>
      </c>
      <c r="G14" s="11" t="s">
        <v>62</v>
      </c>
      <c r="H14" s="5"/>
    </row>
    <row r="15" customFormat="false" ht="30" hidden="false" customHeight="true" outlineLevel="0" collapsed="false">
      <c r="A15" s="5" t="s">
        <v>32</v>
      </c>
      <c r="B15" s="4" t="s">
        <v>57</v>
      </c>
      <c r="C15" s="5" t="s">
        <v>58</v>
      </c>
      <c r="D15" s="5" t="s">
        <v>92</v>
      </c>
      <c r="E15" s="5" t="s">
        <v>93</v>
      </c>
      <c r="F15" s="5" t="s">
        <v>222</v>
      </c>
      <c r="G15" s="11" t="s">
        <v>62</v>
      </c>
      <c r="H15" s="5"/>
    </row>
    <row r="16" customFormat="false" ht="30" hidden="false" customHeight="true" outlineLevel="0" collapsed="false">
      <c r="A16" s="5" t="s">
        <v>32</v>
      </c>
      <c r="B16" s="4" t="s">
        <v>63</v>
      </c>
      <c r="C16" s="5" t="s">
        <v>95</v>
      </c>
      <c r="D16" s="5" t="s">
        <v>96</v>
      </c>
      <c r="E16" s="5" t="s">
        <v>97</v>
      </c>
      <c r="F16" s="5" t="s">
        <v>223</v>
      </c>
      <c r="G16" s="11" t="s">
        <v>62</v>
      </c>
      <c r="H16" s="5"/>
    </row>
    <row r="17" customFormat="false" ht="30" hidden="false" customHeight="true" outlineLevel="0" collapsed="false">
      <c r="A17" s="5" t="s">
        <v>32</v>
      </c>
      <c r="B17" s="4" t="s">
        <v>75</v>
      </c>
      <c r="C17" s="5" t="s">
        <v>216</v>
      </c>
      <c r="D17" s="5" t="s">
        <v>100</v>
      </c>
      <c r="E17" s="5" t="s">
        <v>224</v>
      </c>
      <c r="F17" s="5" t="s">
        <v>225</v>
      </c>
      <c r="G17" s="11" t="s">
        <v>62</v>
      </c>
      <c r="H17" s="5"/>
    </row>
    <row r="18" customFormat="false" ht="30" hidden="false" customHeight="true" outlineLevel="0" collapsed="false">
      <c r="A18" s="5" t="s">
        <v>32</v>
      </c>
      <c r="B18" s="4" t="s">
        <v>80</v>
      </c>
      <c r="C18" s="5" t="s">
        <v>219</v>
      </c>
      <c r="D18" s="5" t="s">
        <v>104</v>
      </c>
      <c r="E18" s="5" t="s">
        <v>224</v>
      </c>
      <c r="F18" s="5" t="s">
        <v>84</v>
      </c>
      <c r="G18" s="12" t="s">
        <v>13</v>
      </c>
      <c r="H18" s="5" t="s">
        <v>226</v>
      </c>
    </row>
    <row r="19" customFormat="false" ht="30" hidden="false" customHeight="true" outlineLevel="0" collapsed="false">
      <c r="A19" s="5" t="s">
        <v>34</v>
      </c>
      <c r="B19" s="4" t="s">
        <v>57</v>
      </c>
      <c r="C19" s="5" t="s">
        <v>227</v>
      </c>
      <c r="D19" s="5" t="s">
        <v>228</v>
      </c>
      <c r="E19" s="5" t="s">
        <v>229</v>
      </c>
      <c r="F19" s="5" t="s">
        <v>230</v>
      </c>
      <c r="G19" s="11" t="s">
        <v>62</v>
      </c>
      <c r="H19" s="5" t="s">
        <v>129</v>
      </c>
    </row>
    <row r="20" customFormat="false" ht="30" hidden="false" customHeight="true" outlineLevel="0" collapsed="false">
      <c r="A20" s="5" t="s">
        <v>34</v>
      </c>
      <c r="B20" s="4" t="s">
        <v>63</v>
      </c>
      <c r="C20" s="5" t="s">
        <v>231</v>
      </c>
      <c r="D20" s="5" t="s">
        <v>92</v>
      </c>
      <c r="E20" s="5" t="s">
        <v>97</v>
      </c>
      <c r="F20" s="5" t="s">
        <v>84</v>
      </c>
      <c r="G20" s="12" t="s">
        <v>13</v>
      </c>
      <c r="H20" s="5" t="s">
        <v>13</v>
      </c>
    </row>
    <row r="21" customFormat="false" ht="30" hidden="false" customHeight="true" outlineLevel="0" collapsed="false">
      <c r="A21" s="5" t="s">
        <v>34</v>
      </c>
      <c r="B21" s="4" t="s">
        <v>75</v>
      </c>
      <c r="C21" s="5" t="s">
        <v>232</v>
      </c>
      <c r="D21" s="5" t="s">
        <v>96</v>
      </c>
      <c r="E21" s="5" t="s">
        <v>97</v>
      </c>
      <c r="F21" s="5" t="s">
        <v>84</v>
      </c>
      <c r="G21" s="12" t="s">
        <v>13</v>
      </c>
      <c r="H21" s="5" t="s">
        <v>13</v>
      </c>
    </row>
    <row r="22" customFormat="false" ht="30" hidden="false" customHeight="true" outlineLevel="0" collapsed="false">
      <c r="A22" s="5" t="s">
        <v>34</v>
      </c>
      <c r="B22" s="4" t="s">
        <v>80</v>
      </c>
      <c r="C22" s="5" t="s">
        <v>233</v>
      </c>
      <c r="D22" s="5" t="s">
        <v>104</v>
      </c>
      <c r="E22" s="5" t="s">
        <v>234</v>
      </c>
      <c r="F22" s="5" t="s">
        <v>235</v>
      </c>
      <c r="G22" s="11" t="s">
        <v>62</v>
      </c>
      <c r="H22" s="5"/>
    </row>
    <row r="23" customFormat="false" ht="30" hidden="false" customHeight="true" outlineLevel="0" collapsed="false">
      <c r="A23" s="5" t="s">
        <v>34</v>
      </c>
      <c r="B23" s="4" t="s">
        <v>86</v>
      </c>
      <c r="C23" s="5" t="s">
        <v>236</v>
      </c>
      <c r="D23" s="5" t="s">
        <v>237</v>
      </c>
      <c r="E23" s="5" t="s">
        <v>132</v>
      </c>
      <c r="F23" s="5" t="s">
        <v>238</v>
      </c>
      <c r="G23" s="11" t="s">
        <v>62</v>
      </c>
      <c r="H23" s="5"/>
    </row>
    <row r="24" customFormat="false" ht="30" hidden="false" customHeight="true" outlineLevel="0" collapsed="false">
      <c r="A24" s="5" t="s">
        <v>36</v>
      </c>
      <c r="B24" s="4" t="s">
        <v>57</v>
      </c>
      <c r="C24" s="5" t="s">
        <v>239</v>
      </c>
      <c r="D24" s="5" t="s">
        <v>228</v>
      </c>
      <c r="E24" s="5" t="s">
        <v>240</v>
      </c>
      <c r="F24" s="5" t="s">
        <v>241</v>
      </c>
      <c r="G24" s="11" t="s">
        <v>62</v>
      </c>
      <c r="H24" s="5" t="s">
        <v>129</v>
      </c>
    </row>
    <row r="25" customFormat="false" ht="30" hidden="false" customHeight="true" outlineLevel="0" collapsed="false">
      <c r="A25" s="5" t="s">
        <v>36</v>
      </c>
      <c r="B25" s="4" t="s">
        <v>63</v>
      </c>
      <c r="C25" s="5" t="s">
        <v>231</v>
      </c>
      <c r="D25" s="5" t="s">
        <v>92</v>
      </c>
      <c r="E25" s="5" t="s">
        <v>97</v>
      </c>
      <c r="F25" s="5" t="s">
        <v>242</v>
      </c>
      <c r="G25" s="11" t="s">
        <v>62</v>
      </c>
      <c r="H25" s="5"/>
    </row>
    <row r="26" customFormat="false" ht="30" hidden="false" customHeight="true" outlineLevel="0" collapsed="false">
      <c r="A26" s="5" t="s">
        <v>36</v>
      </c>
      <c r="B26" s="4" t="s">
        <v>75</v>
      </c>
      <c r="C26" s="5" t="s">
        <v>232</v>
      </c>
      <c r="D26" s="5" t="s">
        <v>96</v>
      </c>
      <c r="E26" s="5" t="s">
        <v>97</v>
      </c>
      <c r="F26" s="5" t="s">
        <v>84</v>
      </c>
      <c r="G26" s="12" t="s">
        <v>13</v>
      </c>
      <c r="H26" s="5" t="s">
        <v>13</v>
      </c>
    </row>
    <row r="27" customFormat="false" ht="30" hidden="false" customHeight="true" outlineLevel="0" collapsed="false">
      <c r="A27" s="5" t="s">
        <v>36</v>
      </c>
      <c r="B27" s="4" t="s">
        <v>80</v>
      </c>
      <c r="C27" s="5" t="s">
        <v>243</v>
      </c>
      <c r="D27" s="5" t="s">
        <v>104</v>
      </c>
      <c r="E27" s="5" t="s">
        <v>229</v>
      </c>
      <c r="F27" s="5" t="s">
        <v>84</v>
      </c>
      <c r="G27" s="12" t="s">
        <v>13</v>
      </c>
      <c r="H27" s="5" t="s">
        <v>13</v>
      </c>
    </row>
    <row r="28" customFormat="false" ht="30" hidden="false" customHeight="true" outlineLevel="0" collapsed="false">
      <c r="A28" s="5" t="s">
        <v>36</v>
      </c>
      <c r="B28" s="4" t="s">
        <v>86</v>
      </c>
      <c r="C28" s="5" t="s">
        <v>244</v>
      </c>
      <c r="D28" s="5" t="s">
        <v>237</v>
      </c>
      <c r="E28" s="5" t="s">
        <v>245</v>
      </c>
      <c r="F28" s="5" t="s">
        <v>246</v>
      </c>
      <c r="G28" s="11" t="s">
        <v>62</v>
      </c>
      <c r="H28" s="5"/>
    </row>
    <row r="29" customFormat="false" ht="30" hidden="false" customHeight="true" outlineLevel="0" collapsed="false">
      <c r="A29" s="5" t="s">
        <v>36</v>
      </c>
      <c r="B29" s="4" t="s">
        <v>117</v>
      </c>
      <c r="C29" s="5" t="s">
        <v>247</v>
      </c>
      <c r="D29" s="5" t="s">
        <v>248</v>
      </c>
      <c r="E29" s="5" t="s">
        <v>249</v>
      </c>
      <c r="F29" s="5" t="s">
        <v>84</v>
      </c>
      <c r="G29" s="13" t="s">
        <v>14</v>
      </c>
      <c r="H29" s="5" t="s">
        <v>250</v>
      </c>
    </row>
    <row r="30" customFormat="false" ht="30" hidden="false" customHeight="true" outlineLevel="0" collapsed="false">
      <c r="A30" s="5" t="s">
        <v>38</v>
      </c>
      <c r="B30" s="4" t="s">
        <v>57</v>
      </c>
      <c r="C30" s="5" t="s">
        <v>251</v>
      </c>
      <c r="D30" s="5" t="s">
        <v>252</v>
      </c>
      <c r="E30" s="5" t="s">
        <v>253</v>
      </c>
      <c r="F30" s="5" t="s">
        <v>254</v>
      </c>
      <c r="G30" s="11" t="s">
        <v>62</v>
      </c>
      <c r="H30" s="5" t="s">
        <v>129</v>
      </c>
    </row>
    <row r="31" customFormat="false" ht="30" hidden="false" customHeight="true" outlineLevel="0" collapsed="false">
      <c r="A31" s="5" t="s">
        <v>38</v>
      </c>
      <c r="B31" s="4" t="s">
        <v>63</v>
      </c>
      <c r="C31" s="5" t="s">
        <v>58</v>
      </c>
      <c r="D31" s="5" t="s">
        <v>92</v>
      </c>
      <c r="E31" s="5" t="s">
        <v>93</v>
      </c>
      <c r="F31" s="5" t="s">
        <v>255</v>
      </c>
      <c r="G31" s="11" t="s">
        <v>62</v>
      </c>
      <c r="H31" s="5"/>
    </row>
    <row r="32" customFormat="false" ht="30" hidden="false" customHeight="true" outlineLevel="0" collapsed="false">
      <c r="A32" s="5" t="s">
        <v>38</v>
      </c>
      <c r="B32" s="4" t="s">
        <v>75</v>
      </c>
      <c r="C32" s="5" t="s">
        <v>95</v>
      </c>
      <c r="D32" s="5" t="s">
        <v>96</v>
      </c>
      <c r="E32" s="5" t="s">
        <v>97</v>
      </c>
      <c r="F32" s="5" t="s">
        <v>256</v>
      </c>
      <c r="G32" s="11" t="s">
        <v>62</v>
      </c>
      <c r="H32" s="5"/>
    </row>
    <row r="33" customFormat="false" ht="30" hidden="false" customHeight="true" outlineLevel="0" collapsed="false">
      <c r="A33" s="5" t="s">
        <v>38</v>
      </c>
      <c r="B33" s="4" t="s">
        <v>80</v>
      </c>
      <c r="C33" s="5" t="s">
        <v>257</v>
      </c>
      <c r="D33" s="5" t="s">
        <v>258</v>
      </c>
      <c r="E33" s="5" t="s">
        <v>253</v>
      </c>
      <c r="F33" s="5" t="s">
        <v>84</v>
      </c>
      <c r="G33" s="12" t="s">
        <v>13</v>
      </c>
      <c r="H33" s="5" t="s">
        <v>226</v>
      </c>
    </row>
    <row r="34" customFormat="false" ht="30" hidden="false" customHeight="true" outlineLevel="0" collapsed="false">
      <c r="A34" s="5" t="s">
        <v>38</v>
      </c>
      <c r="B34" s="4" t="s">
        <v>86</v>
      </c>
      <c r="C34" s="5" t="s">
        <v>259</v>
      </c>
      <c r="D34" s="5" t="s">
        <v>260</v>
      </c>
      <c r="E34" s="5" t="s">
        <v>261</v>
      </c>
      <c r="F34" s="5" t="s">
        <v>262</v>
      </c>
      <c r="G34" s="11" t="s">
        <v>62</v>
      </c>
      <c r="H34" s="5"/>
    </row>
    <row r="35" customFormat="false" ht="30" hidden="false" customHeight="true" outlineLevel="0" collapsed="false">
      <c r="A35" s="5" t="s">
        <v>38</v>
      </c>
      <c r="B35" s="4" t="s">
        <v>117</v>
      </c>
      <c r="C35" s="5" t="s">
        <v>263</v>
      </c>
      <c r="D35" s="5" t="s">
        <v>264</v>
      </c>
      <c r="E35" s="5" t="s">
        <v>253</v>
      </c>
      <c r="F35" s="5" t="s">
        <v>265</v>
      </c>
      <c r="G35" s="11" t="s">
        <v>62</v>
      </c>
      <c r="H35" s="5"/>
    </row>
    <row r="36" customFormat="false" ht="30" hidden="false" customHeight="true" outlineLevel="0" collapsed="false">
      <c r="A36" s="5" t="s">
        <v>38</v>
      </c>
      <c r="B36" s="4" t="s">
        <v>147</v>
      </c>
      <c r="C36" s="5" t="s">
        <v>266</v>
      </c>
      <c r="D36" s="5" t="s">
        <v>190</v>
      </c>
      <c r="E36" s="5" t="s">
        <v>132</v>
      </c>
      <c r="F36" s="5" t="s">
        <v>84</v>
      </c>
      <c r="G36" s="12" t="s">
        <v>13</v>
      </c>
      <c r="H36" s="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10" t="s">
        <v>267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268</v>
      </c>
      <c r="D3" s="3" t="s">
        <v>269</v>
      </c>
      <c r="E3" s="3" t="s">
        <v>4</v>
      </c>
      <c r="F3" s="3" t="s">
        <v>270</v>
      </c>
    </row>
    <row r="4" customFormat="false" ht="15" hidden="false" customHeight="false" outlineLevel="0" collapsed="false">
      <c r="A4" s="4" t="n">
        <v>1</v>
      </c>
      <c r="B4" s="5" t="s">
        <v>16</v>
      </c>
      <c r="C4" s="4" t="n">
        <v>1</v>
      </c>
      <c r="D4" s="5" t="s">
        <v>271</v>
      </c>
      <c r="E4" s="4" t="s">
        <v>272</v>
      </c>
      <c r="F4" s="5" t="s">
        <v>273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n">
        <v>2</v>
      </c>
      <c r="D5" s="5" t="s">
        <v>274</v>
      </c>
      <c r="E5" s="4" t="s">
        <v>275</v>
      </c>
      <c r="F5" s="5" t="s">
        <v>276</v>
      </c>
    </row>
    <row r="6" customFormat="false" ht="15" hidden="false" customHeight="false" outlineLevel="0" collapsed="false">
      <c r="A6" s="4" t="n">
        <v>1</v>
      </c>
      <c r="B6" s="5" t="s">
        <v>16</v>
      </c>
      <c r="C6" s="4" t="n">
        <v>3</v>
      </c>
      <c r="D6" s="5" t="s">
        <v>277</v>
      </c>
      <c r="E6" s="4" t="s">
        <v>275</v>
      </c>
      <c r="F6" s="5" t="s">
        <v>278</v>
      </c>
    </row>
    <row r="7" customFormat="false" ht="15" hidden="false" customHeight="false" outlineLevel="0" collapsed="false">
      <c r="A7" s="4" t="n">
        <v>1</v>
      </c>
      <c r="B7" s="5" t="s">
        <v>16</v>
      </c>
      <c r="C7" s="4" t="n">
        <v>4</v>
      </c>
      <c r="D7" s="5" t="s">
        <v>271</v>
      </c>
      <c r="E7" s="4" t="s">
        <v>279</v>
      </c>
      <c r="F7" s="5" t="s">
        <v>280</v>
      </c>
    </row>
    <row r="8" customFormat="false" ht="15" hidden="false" customHeight="false" outlineLevel="0" collapsed="false">
      <c r="A8" s="4" t="n">
        <v>1</v>
      </c>
      <c r="B8" s="5" t="s">
        <v>16</v>
      </c>
      <c r="C8" s="4" t="n">
        <v>5</v>
      </c>
      <c r="D8" s="5" t="s">
        <v>271</v>
      </c>
      <c r="E8" s="4" t="s">
        <v>281</v>
      </c>
      <c r="F8" s="5" t="s">
        <v>282</v>
      </c>
    </row>
    <row r="9" customFormat="false" ht="15" hidden="false" customHeight="false" outlineLevel="0" collapsed="false">
      <c r="A9" s="4" t="n">
        <v>1</v>
      </c>
      <c r="B9" s="5" t="s">
        <v>16</v>
      </c>
      <c r="C9" s="4" t="n">
        <v>6</v>
      </c>
      <c r="D9" s="5" t="s">
        <v>283</v>
      </c>
      <c r="E9" s="4" t="s">
        <v>284</v>
      </c>
      <c r="F9" s="5" t="s">
        <v>285</v>
      </c>
    </row>
    <row r="10" customFormat="false" ht="15" hidden="false" customHeight="false" outlineLevel="0" collapsed="false">
      <c r="A10" s="4" t="n">
        <v>1</v>
      </c>
      <c r="B10" s="5" t="s">
        <v>18</v>
      </c>
      <c r="C10" s="4" t="n">
        <v>1</v>
      </c>
      <c r="D10" s="5" t="s">
        <v>271</v>
      </c>
      <c r="E10" s="4" t="s">
        <v>286</v>
      </c>
      <c r="F10" s="5" t="s">
        <v>287</v>
      </c>
    </row>
    <row r="11" customFormat="false" ht="15" hidden="false" customHeight="false" outlineLevel="0" collapsed="false">
      <c r="A11" s="4" t="n">
        <v>1</v>
      </c>
      <c r="B11" s="5" t="s">
        <v>18</v>
      </c>
      <c r="C11" s="4" t="n">
        <v>2</v>
      </c>
      <c r="D11" s="5" t="s">
        <v>274</v>
      </c>
      <c r="E11" s="4" t="s">
        <v>288</v>
      </c>
      <c r="F11" s="5" t="s">
        <v>289</v>
      </c>
    </row>
    <row r="12" customFormat="false" ht="15" hidden="false" customHeight="false" outlineLevel="0" collapsed="false">
      <c r="A12" s="4" t="n">
        <v>1</v>
      </c>
      <c r="B12" s="5" t="s">
        <v>18</v>
      </c>
      <c r="C12" s="4" t="n">
        <v>3</v>
      </c>
      <c r="D12" s="5" t="s">
        <v>277</v>
      </c>
      <c r="E12" s="4" t="s">
        <v>290</v>
      </c>
      <c r="F12" s="5" t="s">
        <v>291</v>
      </c>
    </row>
    <row r="13" customFormat="false" ht="15" hidden="false" customHeight="false" outlineLevel="0" collapsed="false">
      <c r="A13" s="4" t="n">
        <v>1</v>
      </c>
      <c r="B13" s="5" t="s">
        <v>18</v>
      </c>
      <c r="C13" s="4" t="n">
        <v>4</v>
      </c>
      <c r="D13" s="5" t="s">
        <v>271</v>
      </c>
      <c r="E13" s="4" t="s">
        <v>292</v>
      </c>
      <c r="F13" s="5" t="s">
        <v>293</v>
      </c>
    </row>
    <row r="14" customFormat="false" ht="15" hidden="false" customHeight="false" outlineLevel="0" collapsed="false">
      <c r="A14" s="4" t="n">
        <v>1</v>
      </c>
      <c r="B14" s="5" t="s">
        <v>18</v>
      </c>
      <c r="C14" s="4" t="n">
        <v>5</v>
      </c>
      <c r="D14" s="5" t="s">
        <v>274</v>
      </c>
      <c r="E14" s="4" t="s">
        <v>294</v>
      </c>
      <c r="F14" s="5" t="s">
        <v>295</v>
      </c>
    </row>
    <row r="15" customFormat="false" ht="15" hidden="false" customHeight="false" outlineLevel="0" collapsed="false">
      <c r="A15" s="4" t="n">
        <v>1</v>
      </c>
      <c r="B15" s="5" t="s">
        <v>18</v>
      </c>
      <c r="C15" s="4" t="n">
        <v>6</v>
      </c>
      <c r="D15" s="5" t="s">
        <v>274</v>
      </c>
      <c r="E15" s="4" t="s">
        <v>296</v>
      </c>
      <c r="F15" s="5" t="s">
        <v>297</v>
      </c>
    </row>
    <row r="16" customFormat="false" ht="15" hidden="false" customHeight="false" outlineLevel="0" collapsed="false">
      <c r="A16" s="4" t="n">
        <v>1</v>
      </c>
      <c r="B16" s="5" t="s">
        <v>18</v>
      </c>
      <c r="C16" s="4" t="n">
        <v>7</v>
      </c>
      <c r="D16" s="5" t="s">
        <v>271</v>
      </c>
      <c r="E16" s="4" t="s">
        <v>298</v>
      </c>
      <c r="F16" s="5" t="s">
        <v>299</v>
      </c>
    </row>
    <row r="17" customFormat="false" ht="15" hidden="false" customHeight="false" outlineLevel="0" collapsed="false">
      <c r="A17" s="4" t="n">
        <v>1</v>
      </c>
      <c r="B17" s="5" t="s">
        <v>18</v>
      </c>
      <c r="C17" s="4" t="n">
        <v>8</v>
      </c>
      <c r="D17" s="5" t="s">
        <v>277</v>
      </c>
      <c r="E17" s="4" t="s">
        <v>300</v>
      </c>
      <c r="F17" s="5" t="s">
        <v>301</v>
      </c>
    </row>
    <row r="18" customFormat="false" ht="15" hidden="false" customHeight="false" outlineLevel="0" collapsed="false">
      <c r="A18" s="4" t="n">
        <v>1</v>
      </c>
      <c r="B18" s="5" t="s">
        <v>18</v>
      </c>
      <c r="C18" s="4" t="n">
        <v>9</v>
      </c>
      <c r="D18" s="5" t="s">
        <v>274</v>
      </c>
      <c r="E18" s="4" t="s">
        <v>302</v>
      </c>
      <c r="F18" s="5" t="s">
        <v>303</v>
      </c>
    </row>
    <row r="19" customFormat="false" ht="15" hidden="false" customHeight="false" outlineLevel="0" collapsed="false">
      <c r="A19" s="4" t="n">
        <v>1</v>
      </c>
      <c r="B19" s="5" t="s">
        <v>18</v>
      </c>
      <c r="C19" s="4" t="n">
        <v>10</v>
      </c>
      <c r="D19" s="5" t="s">
        <v>271</v>
      </c>
      <c r="E19" s="4" t="s">
        <v>304</v>
      </c>
      <c r="F19" s="5" t="s">
        <v>305</v>
      </c>
    </row>
    <row r="20" customFormat="false" ht="15" hidden="false" customHeight="false" outlineLevel="0" collapsed="false">
      <c r="A20" s="4" t="n">
        <v>1</v>
      </c>
      <c r="B20" s="5" t="s">
        <v>18</v>
      </c>
      <c r="C20" s="4" t="n">
        <v>11</v>
      </c>
      <c r="D20" s="5" t="s">
        <v>283</v>
      </c>
      <c r="E20" s="4" t="s">
        <v>306</v>
      </c>
      <c r="F20" s="5" t="s">
        <v>307</v>
      </c>
    </row>
    <row r="21" customFormat="false" ht="15" hidden="false" customHeight="false" outlineLevel="0" collapsed="false">
      <c r="A21" s="4" t="n">
        <v>1</v>
      </c>
      <c r="B21" s="5" t="s">
        <v>20</v>
      </c>
      <c r="C21" s="4" t="n">
        <v>1</v>
      </c>
      <c r="D21" s="5" t="s">
        <v>271</v>
      </c>
      <c r="E21" s="4" t="s">
        <v>308</v>
      </c>
      <c r="F21" s="5" t="s">
        <v>309</v>
      </c>
    </row>
    <row r="22" customFormat="false" ht="15" hidden="false" customHeight="false" outlineLevel="0" collapsed="false">
      <c r="A22" s="4" t="n">
        <v>1</v>
      </c>
      <c r="B22" s="5" t="s">
        <v>20</v>
      </c>
      <c r="C22" s="4" t="n">
        <v>2</v>
      </c>
      <c r="D22" s="5" t="s">
        <v>274</v>
      </c>
      <c r="E22" s="4" t="s">
        <v>310</v>
      </c>
      <c r="F22" s="5" t="s">
        <v>311</v>
      </c>
    </row>
    <row r="23" customFormat="false" ht="15" hidden="false" customHeight="false" outlineLevel="0" collapsed="false">
      <c r="A23" s="4" t="n">
        <v>1</v>
      </c>
      <c r="B23" s="5" t="s">
        <v>20</v>
      </c>
      <c r="C23" s="4" t="n">
        <v>3</v>
      </c>
      <c r="D23" s="5" t="s">
        <v>277</v>
      </c>
      <c r="E23" s="4" t="s">
        <v>310</v>
      </c>
      <c r="F23" s="5" t="s">
        <v>312</v>
      </c>
    </row>
    <row r="24" customFormat="false" ht="15" hidden="false" customHeight="false" outlineLevel="0" collapsed="false">
      <c r="A24" s="4" t="n">
        <v>1</v>
      </c>
      <c r="B24" s="5" t="s">
        <v>20</v>
      </c>
      <c r="C24" s="4" t="n">
        <v>4</v>
      </c>
      <c r="D24" s="5" t="s">
        <v>274</v>
      </c>
      <c r="E24" s="4" t="s">
        <v>313</v>
      </c>
      <c r="F24" s="5" t="s">
        <v>314</v>
      </c>
    </row>
    <row r="25" customFormat="false" ht="15" hidden="false" customHeight="false" outlineLevel="0" collapsed="false">
      <c r="A25" s="4" t="n">
        <v>1</v>
      </c>
      <c r="B25" s="5" t="s">
        <v>20</v>
      </c>
      <c r="C25" s="4" t="n">
        <v>5</v>
      </c>
      <c r="D25" s="5" t="s">
        <v>274</v>
      </c>
      <c r="E25" s="4" t="s">
        <v>313</v>
      </c>
      <c r="F25" s="5" t="s">
        <v>315</v>
      </c>
    </row>
    <row r="26" customFormat="false" ht="15" hidden="false" customHeight="false" outlineLevel="0" collapsed="false">
      <c r="A26" s="4" t="n">
        <v>1</v>
      </c>
      <c r="B26" s="5" t="s">
        <v>20</v>
      </c>
      <c r="C26" s="4" t="n">
        <v>6</v>
      </c>
      <c r="D26" s="5" t="s">
        <v>277</v>
      </c>
      <c r="E26" s="4" t="s">
        <v>316</v>
      </c>
      <c r="F26" s="5" t="s">
        <v>317</v>
      </c>
    </row>
    <row r="27" customFormat="false" ht="15" hidden="false" customHeight="false" outlineLevel="0" collapsed="false">
      <c r="A27" s="4" t="n">
        <v>1</v>
      </c>
      <c r="B27" s="5" t="s">
        <v>20</v>
      </c>
      <c r="C27" s="4" t="n">
        <v>7</v>
      </c>
      <c r="D27" s="5" t="s">
        <v>271</v>
      </c>
      <c r="E27" s="4" t="s">
        <v>318</v>
      </c>
      <c r="F27" s="5" t="s">
        <v>319</v>
      </c>
    </row>
    <row r="28" customFormat="false" ht="15" hidden="false" customHeight="false" outlineLevel="0" collapsed="false">
      <c r="A28" s="4" t="n">
        <v>1</v>
      </c>
      <c r="B28" s="5" t="s">
        <v>20</v>
      </c>
      <c r="C28" s="4" t="n">
        <v>8</v>
      </c>
      <c r="D28" s="5" t="s">
        <v>283</v>
      </c>
      <c r="E28" s="4" t="s">
        <v>320</v>
      </c>
      <c r="F28" s="5" t="s">
        <v>321</v>
      </c>
    </row>
    <row r="29" customFormat="false" ht="15" hidden="false" customHeight="false" outlineLevel="0" collapsed="false">
      <c r="A29" s="4" t="n">
        <v>1</v>
      </c>
      <c r="B29" s="5" t="s">
        <v>22</v>
      </c>
      <c r="C29" s="4" t="n">
        <v>1</v>
      </c>
      <c r="D29" s="5" t="s">
        <v>274</v>
      </c>
      <c r="E29" s="4" t="s">
        <v>322</v>
      </c>
      <c r="F29" s="5" t="s">
        <v>323</v>
      </c>
    </row>
    <row r="30" customFormat="false" ht="15" hidden="false" customHeight="false" outlineLevel="0" collapsed="false">
      <c r="A30" s="4" t="n">
        <v>1</v>
      </c>
      <c r="B30" s="5" t="s">
        <v>22</v>
      </c>
      <c r="C30" s="4" t="n">
        <v>2</v>
      </c>
      <c r="D30" s="5" t="s">
        <v>277</v>
      </c>
      <c r="E30" s="4" t="s">
        <v>322</v>
      </c>
      <c r="F30" s="5" t="s">
        <v>312</v>
      </c>
    </row>
    <row r="31" customFormat="false" ht="15" hidden="false" customHeight="false" outlineLevel="0" collapsed="false">
      <c r="A31" s="4" t="n">
        <v>1</v>
      </c>
      <c r="B31" s="5" t="s">
        <v>22</v>
      </c>
      <c r="C31" s="4" t="n">
        <v>3</v>
      </c>
      <c r="D31" s="5" t="s">
        <v>271</v>
      </c>
      <c r="E31" s="4" t="s">
        <v>324</v>
      </c>
      <c r="F31" s="5" t="s">
        <v>287</v>
      </c>
    </row>
    <row r="32" customFormat="false" ht="15" hidden="false" customHeight="false" outlineLevel="0" collapsed="false">
      <c r="A32" s="4" t="n">
        <v>1</v>
      </c>
      <c r="B32" s="5" t="s">
        <v>22</v>
      </c>
      <c r="C32" s="4" t="n">
        <v>4</v>
      </c>
      <c r="D32" s="5" t="s">
        <v>274</v>
      </c>
      <c r="E32" s="4" t="s">
        <v>325</v>
      </c>
      <c r="F32" s="5" t="s">
        <v>289</v>
      </c>
    </row>
    <row r="33" customFormat="false" ht="15" hidden="false" customHeight="false" outlineLevel="0" collapsed="false">
      <c r="A33" s="4" t="n">
        <v>1</v>
      </c>
      <c r="B33" s="5" t="s">
        <v>22</v>
      </c>
      <c r="C33" s="4" t="n">
        <v>5</v>
      </c>
      <c r="D33" s="5" t="s">
        <v>277</v>
      </c>
      <c r="E33" s="4" t="s">
        <v>326</v>
      </c>
      <c r="F33" s="5" t="s">
        <v>301</v>
      </c>
    </row>
    <row r="34" customFormat="false" ht="15" hidden="false" customHeight="false" outlineLevel="0" collapsed="false">
      <c r="A34" s="4" t="n">
        <v>1</v>
      </c>
      <c r="B34" s="5" t="s">
        <v>22</v>
      </c>
      <c r="C34" s="4" t="n">
        <v>6</v>
      </c>
      <c r="D34" s="5" t="s">
        <v>271</v>
      </c>
      <c r="E34" s="4" t="s">
        <v>327</v>
      </c>
      <c r="F34" s="5" t="s">
        <v>328</v>
      </c>
    </row>
    <row r="35" customFormat="false" ht="15" hidden="false" customHeight="false" outlineLevel="0" collapsed="false">
      <c r="A35" s="4" t="n">
        <v>1</v>
      </c>
      <c r="B35" s="5" t="s">
        <v>22</v>
      </c>
      <c r="C35" s="4" t="n">
        <v>7</v>
      </c>
      <c r="D35" s="5" t="s">
        <v>274</v>
      </c>
      <c r="E35" s="4" t="s">
        <v>329</v>
      </c>
      <c r="F35" s="5" t="s">
        <v>295</v>
      </c>
    </row>
    <row r="36" customFormat="false" ht="15" hidden="false" customHeight="false" outlineLevel="0" collapsed="false">
      <c r="A36" s="4" t="n">
        <v>1</v>
      </c>
      <c r="B36" s="5" t="s">
        <v>22</v>
      </c>
      <c r="C36" s="4" t="n">
        <v>8</v>
      </c>
      <c r="D36" s="5" t="s">
        <v>274</v>
      </c>
      <c r="E36" s="4" t="s">
        <v>330</v>
      </c>
      <c r="F36" s="5" t="s">
        <v>297</v>
      </c>
    </row>
    <row r="37" customFormat="false" ht="15" hidden="false" customHeight="false" outlineLevel="0" collapsed="false">
      <c r="A37" s="4" t="n">
        <v>1</v>
      </c>
      <c r="B37" s="5" t="s">
        <v>22</v>
      </c>
      <c r="C37" s="4" t="n">
        <v>9</v>
      </c>
      <c r="D37" s="5" t="s">
        <v>271</v>
      </c>
      <c r="E37" s="4" t="s">
        <v>331</v>
      </c>
      <c r="F37" s="5" t="s">
        <v>299</v>
      </c>
    </row>
    <row r="38" customFormat="false" ht="15" hidden="false" customHeight="false" outlineLevel="0" collapsed="false">
      <c r="A38" s="4" t="n">
        <v>1</v>
      </c>
      <c r="B38" s="5" t="s">
        <v>22</v>
      </c>
      <c r="C38" s="4" t="n">
        <v>10</v>
      </c>
      <c r="D38" s="5" t="s">
        <v>277</v>
      </c>
      <c r="E38" s="4" t="s">
        <v>332</v>
      </c>
      <c r="F38" s="5" t="s">
        <v>301</v>
      </c>
    </row>
    <row r="39" customFormat="false" ht="15" hidden="false" customHeight="false" outlineLevel="0" collapsed="false">
      <c r="A39" s="4" t="n">
        <v>1</v>
      </c>
      <c r="B39" s="5" t="s">
        <v>22</v>
      </c>
      <c r="C39" s="4" t="n">
        <v>11</v>
      </c>
      <c r="D39" s="5" t="s">
        <v>274</v>
      </c>
      <c r="E39" s="4" t="s">
        <v>333</v>
      </c>
      <c r="F39" s="5" t="s">
        <v>303</v>
      </c>
    </row>
    <row r="40" customFormat="false" ht="15" hidden="false" customHeight="false" outlineLevel="0" collapsed="false">
      <c r="A40" s="4" t="n">
        <v>1</v>
      </c>
      <c r="B40" s="5" t="s">
        <v>22</v>
      </c>
      <c r="C40" s="4" t="n">
        <v>12</v>
      </c>
      <c r="D40" s="5" t="s">
        <v>271</v>
      </c>
      <c r="E40" s="4" t="s">
        <v>334</v>
      </c>
      <c r="F40" s="5" t="s">
        <v>305</v>
      </c>
    </row>
    <row r="41" customFormat="false" ht="15" hidden="false" customHeight="false" outlineLevel="0" collapsed="false">
      <c r="A41" s="4" t="n">
        <v>1</v>
      </c>
      <c r="B41" s="5" t="s">
        <v>22</v>
      </c>
      <c r="C41" s="4" t="n">
        <v>13</v>
      </c>
      <c r="D41" s="5" t="s">
        <v>283</v>
      </c>
      <c r="E41" s="4" t="s">
        <v>335</v>
      </c>
      <c r="F41" s="5" t="s">
        <v>307</v>
      </c>
    </row>
    <row r="42" customFormat="false" ht="15" hidden="false" customHeight="false" outlineLevel="0" collapsed="false">
      <c r="A42" s="4" t="n">
        <v>1</v>
      </c>
      <c r="B42" s="5" t="s">
        <v>24</v>
      </c>
      <c r="C42" s="4" t="n">
        <v>1</v>
      </c>
      <c r="D42" s="5" t="s">
        <v>271</v>
      </c>
      <c r="E42" s="4" t="s">
        <v>336</v>
      </c>
      <c r="F42" s="5" t="s">
        <v>337</v>
      </c>
    </row>
    <row r="43" customFormat="false" ht="15" hidden="false" customHeight="false" outlineLevel="0" collapsed="false">
      <c r="A43" s="4" t="n">
        <v>1</v>
      </c>
      <c r="B43" s="5" t="s">
        <v>24</v>
      </c>
      <c r="C43" s="4" t="n">
        <v>2</v>
      </c>
      <c r="D43" s="5" t="s">
        <v>274</v>
      </c>
      <c r="E43" s="4" t="s">
        <v>338</v>
      </c>
      <c r="F43" s="5" t="s">
        <v>311</v>
      </c>
    </row>
    <row r="44" customFormat="false" ht="15" hidden="false" customHeight="false" outlineLevel="0" collapsed="false">
      <c r="A44" s="4" t="n">
        <v>1</v>
      </c>
      <c r="B44" s="5" t="s">
        <v>24</v>
      </c>
      <c r="C44" s="4" t="n">
        <v>3</v>
      </c>
      <c r="D44" s="5" t="s">
        <v>277</v>
      </c>
      <c r="E44" s="4" t="s">
        <v>338</v>
      </c>
      <c r="F44" s="5" t="s">
        <v>312</v>
      </c>
    </row>
    <row r="45" customFormat="false" ht="15" hidden="false" customHeight="false" outlineLevel="0" collapsed="false">
      <c r="A45" s="4" t="n">
        <v>1</v>
      </c>
      <c r="B45" s="5" t="s">
        <v>24</v>
      </c>
      <c r="C45" s="4" t="n">
        <v>4</v>
      </c>
      <c r="D45" s="5" t="s">
        <v>274</v>
      </c>
      <c r="E45" s="4" t="s">
        <v>339</v>
      </c>
      <c r="F45" s="5" t="s">
        <v>314</v>
      </c>
    </row>
    <row r="46" customFormat="false" ht="15" hidden="false" customHeight="false" outlineLevel="0" collapsed="false">
      <c r="A46" s="4" t="n">
        <v>1</v>
      </c>
      <c r="B46" s="5" t="s">
        <v>24</v>
      </c>
      <c r="C46" s="4" t="n">
        <v>5</v>
      </c>
      <c r="D46" s="5" t="s">
        <v>274</v>
      </c>
      <c r="E46" s="4" t="s">
        <v>339</v>
      </c>
      <c r="F46" s="5" t="s">
        <v>315</v>
      </c>
    </row>
    <row r="47" customFormat="false" ht="15" hidden="false" customHeight="false" outlineLevel="0" collapsed="false">
      <c r="A47" s="4" t="n">
        <v>1</v>
      </c>
      <c r="B47" s="5" t="s">
        <v>24</v>
      </c>
      <c r="C47" s="4" t="n">
        <v>6</v>
      </c>
      <c r="D47" s="5" t="s">
        <v>277</v>
      </c>
      <c r="E47" s="4" t="s">
        <v>340</v>
      </c>
      <c r="F47" s="5" t="s">
        <v>317</v>
      </c>
    </row>
    <row r="48" customFormat="false" ht="15" hidden="false" customHeight="false" outlineLevel="0" collapsed="false">
      <c r="A48" s="4" t="n">
        <v>1</v>
      </c>
      <c r="B48" s="5" t="s">
        <v>24</v>
      </c>
      <c r="C48" s="4" t="n">
        <v>7</v>
      </c>
      <c r="D48" s="5" t="s">
        <v>271</v>
      </c>
      <c r="E48" s="4" t="s">
        <v>341</v>
      </c>
      <c r="F48" s="5" t="s">
        <v>342</v>
      </c>
    </row>
    <row r="49" customFormat="false" ht="15" hidden="false" customHeight="false" outlineLevel="0" collapsed="false">
      <c r="A49" s="4" t="n">
        <v>1</v>
      </c>
      <c r="B49" s="5" t="s">
        <v>24</v>
      </c>
      <c r="C49" s="4" t="n">
        <v>8</v>
      </c>
      <c r="D49" s="5" t="s">
        <v>283</v>
      </c>
      <c r="E49" s="4" t="s">
        <v>343</v>
      </c>
      <c r="F49" s="5" t="s">
        <v>344</v>
      </c>
    </row>
    <row r="50" customFormat="false" ht="15" hidden="false" customHeight="false" outlineLevel="0" collapsed="false">
      <c r="A50" s="4" t="n">
        <v>1</v>
      </c>
      <c r="B50" s="5" t="s">
        <v>26</v>
      </c>
      <c r="C50" s="4" t="n">
        <v>1</v>
      </c>
      <c r="D50" s="5" t="s">
        <v>274</v>
      </c>
      <c r="E50" s="4" t="s">
        <v>345</v>
      </c>
      <c r="F50" s="5" t="s">
        <v>346</v>
      </c>
    </row>
    <row r="51" customFormat="false" ht="15" hidden="false" customHeight="false" outlineLevel="0" collapsed="false">
      <c r="A51" s="4" t="n">
        <v>1</v>
      </c>
      <c r="B51" s="5" t="s">
        <v>26</v>
      </c>
      <c r="C51" s="4" t="n">
        <v>2</v>
      </c>
      <c r="D51" s="5" t="s">
        <v>274</v>
      </c>
      <c r="E51" s="4" t="s">
        <v>345</v>
      </c>
      <c r="F51" s="5" t="s">
        <v>347</v>
      </c>
    </row>
    <row r="52" customFormat="false" ht="15" hidden="false" customHeight="false" outlineLevel="0" collapsed="false">
      <c r="A52" s="4" t="n">
        <v>1</v>
      </c>
      <c r="B52" s="5" t="s">
        <v>26</v>
      </c>
      <c r="C52" s="4" t="n">
        <v>3</v>
      </c>
      <c r="D52" s="5" t="s">
        <v>277</v>
      </c>
      <c r="E52" s="4" t="s">
        <v>348</v>
      </c>
      <c r="F52" s="5" t="s">
        <v>349</v>
      </c>
    </row>
    <row r="53" customFormat="false" ht="15" hidden="false" customHeight="false" outlineLevel="0" collapsed="false">
      <c r="A53" s="4" t="n">
        <v>1</v>
      </c>
      <c r="B53" s="5" t="s">
        <v>26</v>
      </c>
      <c r="C53" s="4" t="n">
        <v>4</v>
      </c>
      <c r="D53" s="5" t="s">
        <v>271</v>
      </c>
      <c r="E53" s="4" t="s">
        <v>350</v>
      </c>
      <c r="F53" s="5" t="s">
        <v>351</v>
      </c>
    </row>
    <row r="54" customFormat="false" ht="15" hidden="false" customHeight="false" outlineLevel="0" collapsed="false">
      <c r="A54" s="4" t="n">
        <v>1</v>
      </c>
      <c r="B54" s="5" t="s">
        <v>26</v>
      </c>
      <c r="C54" s="4" t="n">
        <v>5</v>
      </c>
      <c r="D54" s="5" t="s">
        <v>274</v>
      </c>
      <c r="E54" s="4" t="s">
        <v>352</v>
      </c>
      <c r="F54" s="5" t="s">
        <v>353</v>
      </c>
    </row>
    <row r="55" customFormat="false" ht="15" hidden="false" customHeight="false" outlineLevel="0" collapsed="false">
      <c r="A55" s="4" t="n">
        <v>1</v>
      </c>
      <c r="B55" s="5" t="s">
        <v>26</v>
      </c>
      <c r="C55" s="4" t="n">
        <v>6</v>
      </c>
      <c r="D55" s="5" t="s">
        <v>274</v>
      </c>
      <c r="E55" s="4" t="s">
        <v>352</v>
      </c>
      <c r="F55" s="5" t="s">
        <v>354</v>
      </c>
    </row>
    <row r="56" customFormat="false" ht="15" hidden="false" customHeight="false" outlineLevel="0" collapsed="false">
      <c r="A56" s="4" t="n">
        <v>1</v>
      </c>
      <c r="B56" s="5" t="s">
        <v>26</v>
      </c>
      <c r="C56" s="4" t="n">
        <v>7</v>
      </c>
      <c r="D56" s="5" t="s">
        <v>277</v>
      </c>
      <c r="E56" s="4" t="s">
        <v>355</v>
      </c>
      <c r="F56" s="5" t="s">
        <v>356</v>
      </c>
    </row>
    <row r="57" customFormat="false" ht="15" hidden="false" customHeight="false" outlineLevel="0" collapsed="false">
      <c r="A57" s="4" t="n">
        <v>1</v>
      </c>
      <c r="B57" s="5" t="s">
        <v>26</v>
      </c>
      <c r="C57" s="4" t="n">
        <v>8</v>
      </c>
      <c r="D57" s="5" t="s">
        <v>271</v>
      </c>
      <c r="E57" s="4" t="s">
        <v>357</v>
      </c>
      <c r="F57" s="5" t="s">
        <v>358</v>
      </c>
    </row>
    <row r="58" customFormat="false" ht="15" hidden="false" customHeight="false" outlineLevel="0" collapsed="false">
      <c r="A58" s="4" t="n">
        <v>1</v>
      </c>
      <c r="B58" s="5" t="s">
        <v>26</v>
      </c>
      <c r="C58" s="4" t="n">
        <v>9</v>
      </c>
      <c r="D58" s="5" t="s">
        <v>274</v>
      </c>
      <c r="E58" s="4" t="s">
        <v>359</v>
      </c>
      <c r="F58" s="5" t="s">
        <v>311</v>
      </c>
    </row>
    <row r="59" customFormat="false" ht="15" hidden="false" customHeight="false" outlineLevel="0" collapsed="false">
      <c r="A59" s="4" t="n">
        <v>1</v>
      </c>
      <c r="B59" s="5" t="s">
        <v>26</v>
      </c>
      <c r="C59" s="4" t="n">
        <v>10</v>
      </c>
      <c r="D59" s="5" t="s">
        <v>277</v>
      </c>
      <c r="E59" s="4" t="s">
        <v>359</v>
      </c>
      <c r="F59" s="5" t="s">
        <v>312</v>
      </c>
    </row>
    <row r="60" customFormat="false" ht="15" hidden="false" customHeight="false" outlineLevel="0" collapsed="false">
      <c r="A60" s="4" t="n">
        <v>1</v>
      </c>
      <c r="B60" s="5" t="s">
        <v>26</v>
      </c>
      <c r="C60" s="4" t="n">
        <v>11</v>
      </c>
      <c r="D60" s="5" t="s">
        <v>274</v>
      </c>
      <c r="E60" s="4" t="s">
        <v>360</v>
      </c>
      <c r="F60" s="5" t="s">
        <v>314</v>
      </c>
    </row>
    <row r="61" customFormat="false" ht="15" hidden="false" customHeight="false" outlineLevel="0" collapsed="false">
      <c r="A61" s="4" t="n">
        <v>1</v>
      </c>
      <c r="B61" s="5" t="s">
        <v>26</v>
      </c>
      <c r="C61" s="4" t="n">
        <v>12</v>
      </c>
      <c r="D61" s="5" t="s">
        <v>274</v>
      </c>
      <c r="E61" s="4" t="s">
        <v>360</v>
      </c>
      <c r="F61" s="5" t="s">
        <v>361</v>
      </c>
    </row>
    <row r="62" customFormat="false" ht="15" hidden="false" customHeight="false" outlineLevel="0" collapsed="false">
      <c r="A62" s="4" t="n">
        <v>1</v>
      </c>
      <c r="B62" s="5" t="s">
        <v>26</v>
      </c>
      <c r="C62" s="4" t="n">
        <v>13</v>
      </c>
      <c r="D62" s="5" t="s">
        <v>277</v>
      </c>
      <c r="E62" s="4" t="s">
        <v>362</v>
      </c>
      <c r="F62" s="5" t="s">
        <v>317</v>
      </c>
    </row>
    <row r="63" customFormat="false" ht="15" hidden="false" customHeight="false" outlineLevel="0" collapsed="false">
      <c r="A63" s="4" t="n">
        <v>1</v>
      </c>
      <c r="B63" s="5" t="s">
        <v>26</v>
      </c>
      <c r="C63" s="4" t="n">
        <v>14</v>
      </c>
      <c r="D63" s="5" t="s">
        <v>271</v>
      </c>
      <c r="E63" s="4" t="s">
        <v>363</v>
      </c>
      <c r="F63" s="5" t="s">
        <v>364</v>
      </c>
    </row>
    <row r="64" customFormat="false" ht="15" hidden="false" customHeight="false" outlineLevel="0" collapsed="false">
      <c r="A64" s="4" t="n">
        <v>1</v>
      </c>
      <c r="B64" s="5" t="s">
        <v>26</v>
      </c>
      <c r="C64" s="4" t="n">
        <v>15</v>
      </c>
      <c r="D64" s="5" t="s">
        <v>274</v>
      </c>
      <c r="E64" s="4" t="s">
        <v>365</v>
      </c>
      <c r="F64" s="5" t="s">
        <v>366</v>
      </c>
    </row>
    <row r="65" customFormat="false" ht="15" hidden="false" customHeight="false" outlineLevel="0" collapsed="false">
      <c r="A65" s="4" t="n">
        <v>1</v>
      </c>
      <c r="B65" s="5" t="s">
        <v>26</v>
      </c>
      <c r="C65" s="4" t="n">
        <v>16</v>
      </c>
      <c r="D65" s="5" t="s">
        <v>277</v>
      </c>
      <c r="E65" s="4" t="s">
        <v>367</v>
      </c>
      <c r="F65" s="5" t="s">
        <v>368</v>
      </c>
    </row>
    <row r="66" customFormat="false" ht="15" hidden="false" customHeight="false" outlineLevel="0" collapsed="false">
      <c r="A66" s="4" t="n">
        <v>1</v>
      </c>
      <c r="B66" s="5" t="s">
        <v>26</v>
      </c>
      <c r="C66" s="4" t="n">
        <v>17</v>
      </c>
      <c r="D66" s="5" t="s">
        <v>274</v>
      </c>
      <c r="E66" s="4" t="s">
        <v>369</v>
      </c>
      <c r="F66" s="5" t="s">
        <v>370</v>
      </c>
    </row>
    <row r="67" customFormat="false" ht="15" hidden="false" customHeight="false" outlineLevel="0" collapsed="false">
      <c r="A67" s="4" t="n">
        <v>1</v>
      </c>
      <c r="B67" s="5" t="s">
        <v>26</v>
      </c>
      <c r="C67" s="4" t="n">
        <v>18</v>
      </c>
      <c r="D67" s="5" t="s">
        <v>271</v>
      </c>
      <c r="E67" s="4" t="s">
        <v>371</v>
      </c>
      <c r="F67" s="5" t="s">
        <v>372</v>
      </c>
    </row>
    <row r="68" customFormat="false" ht="15" hidden="false" customHeight="false" outlineLevel="0" collapsed="false">
      <c r="A68" s="4" t="n">
        <v>1</v>
      </c>
      <c r="B68" s="5" t="s">
        <v>26</v>
      </c>
      <c r="C68" s="4" t="n">
        <v>19</v>
      </c>
      <c r="D68" s="5" t="s">
        <v>274</v>
      </c>
      <c r="E68" s="4" t="s">
        <v>373</v>
      </c>
      <c r="F68" s="5" t="s">
        <v>374</v>
      </c>
    </row>
    <row r="69" customFormat="false" ht="15" hidden="false" customHeight="false" outlineLevel="0" collapsed="false">
      <c r="A69" s="4" t="n">
        <v>1</v>
      </c>
      <c r="B69" s="5" t="s">
        <v>26</v>
      </c>
      <c r="C69" s="4" t="n">
        <v>20</v>
      </c>
      <c r="D69" s="5" t="s">
        <v>274</v>
      </c>
      <c r="E69" s="4" t="s">
        <v>375</v>
      </c>
      <c r="F69" s="5" t="s">
        <v>376</v>
      </c>
    </row>
    <row r="70" customFormat="false" ht="15" hidden="false" customHeight="false" outlineLevel="0" collapsed="false">
      <c r="A70" s="4" t="n">
        <v>1</v>
      </c>
      <c r="B70" s="5" t="s">
        <v>26</v>
      </c>
      <c r="C70" s="4" t="n">
        <v>21</v>
      </c>
      <c r="D70" s="5" t="s">
        <v>271</v>
      </c>
      <c r="E70" s="4" t="s">
        <v>375</v>
      </c>
      <c r="F70" s="5" t="s">
        <v>377</v>
      </c>
    </row>
    <row r="71" customFormat="false" ht="15" hidden="false" customHeight="false" outlineLevel="0" collapsed="false">
      <c r="A71" s="4" t="n">
        <v>1</v>
      </c>
      <c r="B71" s="5" t="s">
        <v>26</v>
      </c>
      <c r="C71" s="4" t="n">
        <v>23</v>
      </c>
      <c r="D71" s="5" t="s">
        <v>274</v>
      </c>
      <c r="E71" s="4" t="s">
        <v>378</v>
      </c>
      <c r="F71" s="5" t="s">
        <v>379</v>
      </c>
    </row>
    <row r="72" customFormat="false" ht="15" hidden="false" customHeight="false" outlineLevel="0" collapsed="false">
      <c r="A72" s="4" t="n">
        <v>1</v>
      </c>
      <c r="B72" s="5" t="s">
        <v>26</v>
      </c>
      <c r="C72" s="4" t="n">
        <v>24</v>
      </c>
      <c r="D72" s="5" t="s">
        <v>274</v>
      </c>
      <c r="E72" s="4" t="s">
        <v>380</v>
      </c>
      <c r="F72" s="5" t="s">
        <v>381</v>
      </c>
    </row>
    <row r="73" customFormat="false" ht="15" hidden="false" customHeight="false" outlineLevel="0" collapsed="false">
      <c r="A73" s="4" t="n">
        <v>1</v>
      </c>
      <c r="B73" s="5" t="s">
        <v>26</v>
      </c>
      <c r="C73" s="4" t="n">
        <v>25</v>
      </c>
      <c r="D73" s="5" t="s">
        <v>271</v>
      </c>
      <c r="E73" s="4" t="s">
        <v>382</v>
      </c>
      <c r="F73" s="5" t="s">
        <v>383</v>
      </c>
    </row>
    <row r="74" customFormat="false" ht="15" hidden="false" customHeight="false" outlineLevel="0" collapsed="false">
      <c r="A74" s="4" t="n">
        <v>1</v>
      </c>
      <c r="B74" s="5" t="s">
        <v>26</v>
      </c>
      <c r="C74" s="4" t="n">
        <v>26</v>
      </c>
      <c r="D74" s="5" t="s">
        <v>274</v>
      </c>
      <c r="E74" s="4" t="s">
        <v>384</v>
      </c>
      <c r="F74" s="5" t="s">
        <v>385</v>
      </c>
    </row>
    <row r="75" customFormat="false" ht="15" hidden="false" customHeight="false" outlineLevel="0" collapsed="false">
      <c r="A75" s="4" t="n">
        <v>1</v>
      </c>
      <c r="B75" s="5" t="s">
        <v>26</v>
      </c>
      <c r="C75" s="4" t="n">
        <v>27</v>
      </c>
      <c r="D75" s="5" t="s">
        <v>274</v>
      </c>
      <c r="E75" s="4" t="s">
        <v>384</v>
      </c>
      <c r="F75" s="5" t="s">
        <v>386</v>
      </c>
    </row>
    <row r="76" customFormat="false" ht="15" hidden="false" customHeight="false" outlineLevel="0" collapsed="false">
      <c r="A76" s="4" t="n">
        <v>1</v>
      </c>
      <c r="B76" s="5" t="s">
        <v>26</v>
      </c>
      <c r="C76" s="4" t="n">
        <v>28</v>
      </c>
      <c r="D76" s="5" t="s">
        <v>277</v>
      </c>
      <c r="E76" s="4" t="s">
        <v>387</v>
      </c>
      <c r="F76" s="5" t="s">
        <v>388</v>
      </c>
    </row>
    <row r="77" customFormat="false" ht="15" hidden="false" customHeight="false" outlineLevel="0" collapsed="false">
      <c r="A77" s="4" t="n">
        <v>1</v>
      </c>
      <c r="B77" s="5" t="s">
        <v>26</v>
      </c>
      <c r="C77" s="4" t="n">
        <v>29</v>
      </c>
      <c r="D77" s="5" t="s">
        <v>271</v>
      </c>
      <c r="E77" s="4" t="s">
        <v>389</v>
      </c>
      <c r="F77" s="5" t="s">
        <v>390</v>
      </c>
    </row>
    <row r="78" customFormat="false" ht="15" hidden="false" customHeight="false" outlineLevel="0" collapsed="false">
      <c r="A78" s="4" t="n">
        <v>1</v>
      </c>
      <c r="B78" s="5" t="s">
        <v>26</v>
      </c>
      <c r="C78" s="4" t="n">
        <v>30</v>
      </c>
      <c r="D78" s="5" t="s">
        <v>274</v>
      </c>
      <c r="E78" s="4" t="s">
        <v>391</v>
      </c>
      <c r="F78" s="5" t="s">
        <v>392</v>
      </c>
    </row>
    <row r="79" customFormat="false" ht="15" hidden="false" customHeight="false" outlineLevel="0" collapsed="false">
      <c r="A79" s="4" t="n">
        <v>1</v>
      </c>
      <c r="B79" s="5" t="s">
        <v>26</v>
      </c>
      <c r="C79" s="4" t="n">
        <v>31</v>
      </c>
      <c r="D79" s="5" t="s">
        <v>271</v>
      </c>
      <c r="E79" s="4" t="s">
        <v>393</v>
      </c>
      <c r="F79" s="5" t="s">
        <v>394</v>
      </c>
    </row>
    <row r="80" customFormat="false" ht="15" hidden="false" customHeight="false" outlineLevel="0" collapsed="false">
      <c r="A80" s="4" t="n">
        <v>1</v>
      </c>
      <c r="B80" s="5" t="s">
        <v>26</v>
      </c>
      <c r="C80" s="4" t="n">
        <v>32</v>
      </c>
      <c r="D80" s="5" t="s">
        <v>274</v>
      </c>
      <c r="E80" s="4" t="s">
        <v>395</v>
      </c>
      <c r="F80" s="5" t="s">
        <v>396</v>
      </c>
    </row>
    <row r="81" customFormat="false" ht="15" hidden="false" customHeight="false" outlineLevel="0" collapsed="false">
      <c r="A81" s="4" t="n">
        <v>1</v>
      </c>
      <c r="B81" s="5" t="s">
        <v>26</v>
      </c>
      <c r="C81" s="4" t="n">
        <v>33</v>
      </c>
      <c r="D81" s="5" t="s">
        <v>277</v>
      </c>
      <c r="E81" s="4" t="s">
        <v>397</v>
      </c>
      <c r="F81" s="5" t="s">
        <v>398</v>
      </c>
    </row>
    <row r="82" customFormat="false" ht="15" hidden="false" customHeight="false" outlineLevel="0" collapsed="false">
      <c r="A82" s="4" t="n">
        <v>1</v>
      </c>
      <c r="B82" s="5" t="s">
        <v>26</v>
      </c>
      <c r="C82" s="4" t="n">
        <v>34</v>
      </c>
      <c r="D82" s="5" t="s">
        <v>283</v>
      </c>
      <c r="E82" s="4" t="s">
        <v>399</v>
      </c>
      <c r="F82" s="5" t="s">
        <v>400</v>
      </c>
    </row>
    <row r="83" customFormat="false" ht="15" hidden="false" customHeight="false" outlineLevel="0" collapsed="false">
      <c r="A83" s="4" t="n">
        <v>2</v>
      </c>
      <c r="B83" s="5" t="s">
        <v>28</v>
      </c>
      <c r="C83" s="4" t="n">
        <v>1</v>
      </c>
      <c r="D83" s="5" t="s">
        <v>271</v>
      </c>
      <c r="E83" s="4" t="s">
        <v>401</v>
      </c>
      <c r="F83" s="5" t="s">
        <v>402</v>
      </c>
    </row>
    <row r="84" customFormat="false" ht="15" hidden="false" customHeight="false" outlineLevel="0" collapsed="false">
      <c r="A84" s="4" t="n">
        <v>2</v>
      </c>
      <c r="B84" s="5" t="s">
        <v>28</v>
      </c>
      <c r="C84" s="4" t="n">
        <v>2</v>
      </c>
      <c r="D84" s="5" t="s">
        <v>274</v>
      </c>
      <c r="E84" s="4" t="s">
        <v>403</v>
      </c>
      <c r="F84" s="5" t="s">
        <v>404</v>
      </c>
    </row>
    <row r="85" customFormat="false" ht="15" hidden="false" customHeight="false" outlineLevel="0" collapsed="false">
      <c r="A85" s="4" t="n">
        <v>2</v>
      </c>
      <c r="B85" s="5" t="s">
        <v>28</v>
      </c>
      <c r="C85" s="4" t="n">
        <v>3</v>
      </c>
      <c r="D85" s="5" t="s">
        <v>277</v>
      </c>
      <c r="E85" s="4" t="s">
        <v>403</v>
      </c>
      <c r="F85" s="5" t="s">
        <v>312</v>
      </c>
    </row>
    <row r="86" customFormat="false" ht="15" hidden="false" customHeight="false" outlineLevel="0" collapsed="false">
      <c r="A86" s="4" t="n">
        <v>2</v>
      </c>
      <c r="B86" s="5" t="s">
        <v>28</v>
      </c>
      <c r="C86" s="4" t="n">
        <v>4</v>
      </c>
      <c r="D86" s="5" t="s">
        <v>271</v>
      </c>
      <c r="E86" s="4" t="s">
        <v>405</v>
      </c>
      <c r="F86" s="5" t="s">
        <v>358</v>
      </c>
    </row>
    <row r="87" customFormat="false" ht="15" hidden="false" customHeight="false" outlineLevel="0" collapsed="false">
      <c r="A87" s="4" t="n">
        <v>2</v>
      </c>
      <c r="B87" s="5" t="s">
        <v>28</v>
      </c>
      <c r="C87" s="4" t="n">
        <v>5</v>
      </c>
      <c r="D87" s="5" t="s">
        <v>274</v>
      </c>
      <c r="E87" s="4" t="s">
        <v>406</v>
      </c>
      <c r="F87" s="5" t="s">
        <v>407</v>
      </c>
    </row>
    <row r="88" customFormat="false" ht="15" hidden="false" customHeight="false" outlineLevel="0" collapsed="false">
      <c r="A88" s="4" t="n">
        <v>2</v>
      </c>
      <c r="B88" s="5" t="s">
        <v>28</v>
      </c>
      <c r="C88" s="4" t="n">
        <v>6</v>
      </c>
      <c r="D88" s="5" t="s">
        <v>274</v>
      </c>
      <c r="E88" s="4" t="s">
        <v>406</v>
      </c>
      <c r="F88" s="5" t="s">
        <v>408</v>
      </c>
    </row>
    <row r="89" customFormat="false" ht="15" hidden="false" customHeight="false" outlineLevel="0" collapsed="false">
      <c r="A89" s="4" t="n">
        <v>2</v>
      </c>
      <c r="B89" s="5" t="s">
        <v>28</v>
      </c>
      <c r="C89" s="4" t="n">
        <v>7</v>
      </c>
      <c r="D89" s="5" t="s">
        <v>274</v>
      </c>
      <c r="E89" s="4" t="s">
        <v>406</v>
      </c>
      <c r="F89" s="5" t="s">
        <v>361</v>
      </c>
    </row>
    <row r="90" customFormat="false" ht="15" hidden="false" customHeight="false" outlineLevel="0" collapsed="false">
      <c r="A90" s="4" t="n">
        <v>2</v>
      </c>
      <c r="B90" s="5" t="s">
        <v>28</v>
      </c>
      <c r="C90" s="4" t="n">
        <v>8</v>
      </c>
      <c r="D90" s="5" t="s">
        <v>277</v>
      </c>
      <c r="E90" s="4" t="s">
        <v>409</v>
      </c>
      <c r="F90" s="5" t="s">
        <v>317</v>
      </c>
    </row>
    <row r="91" customFormat="false" ht="15" hidden="false" customHeight="false" outlineLevel="0" collapsed="false">
      <c r="A91" s="4" t="n">
        <v>2</v>
      </c>
      <c r="B91" s="5" t="s">
        <v>28</v>
      </c>
      <c r="C91" s="4" t="n">
        <v>9</v>
      </c>
      <c r="D91" s="5" t="s">
        <v>274</v>
      </c>
      <c r="E91" s="4" t="s">
        <v>410</v>
      </c>
      <c r="F91" s="5" t="s">
        <v>411</v>
      </c>
    </row>
    <row r="92" customFormat="false" ht="15" hidden="false" customHeight="false" outlineLevel="0" collapsed="false">
      <c r="A92" s="4" t="n">
        <v>2</v>
      </c>
      <c r="B92" s="5" t="s">
        <v>28</v>
      </c>
      <c r="C92" s="4" t="n">
        <v>10</v>
      </c>
      <c r="D92" s="5" t="s">
        <v>277</v>
      </c>
      <c r="E92" s="4" t="s">
        <v>410</v>
      </c>
      <c r="F92" s="5" t="s">
        <v>317</v>
      </c>
    </row>
    <row r="93" customFormat="false" ht="15" hidden="false" customHeight="false" outlineLevel="0" collapsed="false">
      <c r="A93" s="4" t="n">
        <v>2</v>
      </c>
      <c r="B93" s="5" t="s">
        <v>28</v>
      </c>
      <c r="C93" s="4" t="n">
        <v>11</v>
      </c>
      <c r="D93" s="5" t="s">
        <v>271</v>
      </c>
      <c r="E93" s="4" t="s">
        <v>412</v>
      </c>
      <c r="F93" s="5" t="s">
        <v>413</v>
      </c>
    </row>
    <row r="94" customFormat="false" ht="15" hidden="false" customHeight="false" outlineLevel="0" collapsed="false">
      <c r="A94" s="4" t="n">
        <v>2</v>
      </c>
      <c r="B94" s="5" t="s">
        <v>28</v>
      </c>
      <c r="C94" s="4" t="n">
        <v>12</v>
      </c>
      <c r="D94" s="5" t="s">
        <v>274</v>
      </c>
      <c r="E94" s="4" t="s">
        <v>414</v>
      </c>
      <c r="F94" s="5" t="s">
        <v>396</v>
      </c>
    </row>
    <row r="95" customFormat="false" ht="15" hidden="false" customHeight="false" outlineLevel="0" collapsed="false">
      <c r="A95" s="4" t="n">
        <v>2</v>
      </c>
      <c r="B95" s="5" t="s">
        <v>28</v>
      </c>
      <c r="C95" s="4" t="n">
        <v>13</v>
      </c>
      <c r="D95" s="5" t="s">
        <v>277</v>
      </c>
      <c r="E95" s="4" t="s">
        <v>415</v>
      </c>
      <c r="F95" s="5" t="s">
        <v>416</v>
      </c>
    </row>
    <row r="96" customFormat="false" ht="15" hidden="false" customHeight="false" outlineLevel="0" collapsed="false">
      <c r="A96" s="4" t="n">
        <v>2</v>
      </c>
      <c r="B96" s="5" t="s">
        <v>28</v>
      </c>
      <c r="C96" s="4" t="n">
        <v>14</v>
      </c>
      <c r="D96" s="5" t="s">
        <v>283</v>
      </c>
      <c r="E96" s="4" t="s">
        <v>417</v>
      </c>
      <c r="F96" s="5" t="s">
        <v>400</v>
      </c>
    </row>
    <row r="97" customFormat="false" ht="15" hidden="false" customHeight="false" outlineLevel="0" collapsed="false">
      <c r="A97" s="4" t="n">
        <v>2</v>
      </c>
      <c r="B97" s="5" t="s">
        <v>30</v>
      </c>
      <c r="C97" s="4" t="n">
        <v>1</v>
      </c>
      <c r="D97" s="5" t="s">
        <v>271</v>
      </c>
      <c r="E97" s="4" t="s">
        <v>418</v>
      </c>
      <c r="F97" s="5" t="s">
        <v>419</v>
      </c>
    </row>
    <row r="98" customFormat="false" ht="15" hidden="false" customHeight="false" outlineLevel="0" collapsed="false">
      <c r="A98" s="4" t="n">
        <v>2</v>
      </c>
      <c r="B98" s="5" t="s">
        <v>30</v>
      </c>
      <c r="C98" s="4" t="n">
        <v>2</v>
      </c>
      <c r="D98" s="5" t="s">
        <v>274</v>
      </c>
      <c r="E98" s="4" t="s">
        <v>420</v>
      </c>
      <c r="F98" s="5" t="s">
        <v>311</v>
      </c>
    </row>
    <row r="99" customFormat="false" ht="15" hidden="false" customHeight="false" outlineLevel="0" collapsed="false">
      <c r="A99" s="4" t="n">
        <v>2</v>
      </c>
      <c r="B99" s="5" t="s">
        <v>30</v>
      </c>
      <c r="C99" s="4" t="n">
        <v>3</v>
      </c>
      <c r="D99" s="5" t="s">
        <v>277</v>
      </c>
      <c r="E99" s="4" t="s">
        <v>420</v>
      </c>
      <c r="F99" s="5" t="s">
        <v>312</v>
      </c>
    </row>
    <row r="100" customFormat="false" ht="15" hidden="false" customHeight="false" outlineLevel="0" collapsed="false">
      <c r="A100" s="4" t="n">
        <v>2</v>
      </c>
      <c r="B100" s="5" t="s">
        <v>30</v>
      </c>
      <c r="C100" s="4" t="n">
        <v>4</v>
      </c>
      <c r="D100" s="5" t="s">
        <v>274</v>
      </c>
      <c r="E100" s="4" t="s">
        <v>421</v>
      </c>
      <c r="F100" s="5" t="s">
        <v>314</v>
      </c>
    </row>
    <row r="101" customFormat="false" ht="15" hidden="false" customHeight="false" outlineLevel="0" collapsed="false">
      <c r="A101" s="4" t="n">
        <v>2</v>
      </c>
      <c r="B101" s="5" t="s">
        <v>30</v>
      </c>
      <c r="C101" s="4" t="n">
        <v>5</v>
      </c>
      <c r="D101" s="5" t="s">
        <v>274</v>
      </c>
      <c r="E101" s="4" t="s">
        <v>421</v>
      </c>
      <c r="F101" s="5" t="s">
        <v>315</v>
      </c>
    </row>
    <row r="102" customFormat="false" ht="15" hidden="false" customHeight="false" outlineLevel="0" collapsed="false">
      <c r="A102" s="4" t="n">
        <v>2</v>
      </c>
      <c r="B102" s="5" t="s">
        <v>30</v>
      </c>
      <c r="C102" s="4" t="n">
        <v>6</v>
      </c>
      <c r="D102" s="5" t="s">
        <v>277</v>
      </c>
      <c r="E102" s="4" t="s">
        <v>422</v>
      </c>
      <c r="F102" s="5" t="s">
        <v>317</v>
      </c>
    </row>
    <row r="103" customFormat="false" ht="15" hidden="false" customHeight="false" outlineLevel="0" collapsed="false">
      <c r="A103" s="4" t="n">
        <v>2</v>
      </c>
      <c r="B103" s="5" t="s">
        <v>30</v>
      </c>
      <c r="C103" s="4" t="n">
        <v>7</v>
      </c>
      <c r="D103" s="5" t="s">
        <v>271</v>
      </c>
      <c r="E103" s="4" t="s">
        <v>423</v>
      </c>
      <c r="F103" s="5" t="s">
        <v>424</v>
      </c>
    </row>
    <row r="104" customFormat="false" ht="15" hidden="false" customHeight="false" outlineLevel="0" collapsed="false">
      <c r="A104" s="4" t="n">
        <v>2</v>
      </c>
      <c r="B104" s="5" t="s">
        <v>30</v>
      </c>
      <c r="C104" s="4" t="n">
        <v>8</v>
      </c>
      <c r="D104" s="5" t="s">
        <v>271</v>
      </c>
      <c r="E104" s="4" t="s">
        <v>425</v>
      </c>
      <c r="F104" s="5" t="s">
        <v>426</v>
      </c>
    </row>
    <row r="105" customFormat="false" ht="15" hidden="false" customHeight="false" outlineLevel="0" collapsed="false">
      <c r="A105" s="4" t="n">
        <v>2</v>
      </c>
      <c r="B105" s="5" t="s">
        <v>30</v>
      </c>
      <c r="C105" s="4" t="n">
        <v>9</v>
      </c>
      <c r="D105" s="5" t="s">
        <v>283</v>
      </c>
      <c r="E105" s="4" t="s">
        <v>427</v>
      </c>
      <c r="F105" s="5" t="s">
        <v>428</v>
      </c>
    </row>
    <row r="106" customFormat="false" ht="15" hidden="false" customHeight="false" outlineLevel="0" collapsed="false">
      <c r="A106" s="4" t="n">
        <v>2</v>
      </c>
      <c r="B106" s="5" t="s">
        <v>32</v>
      </c>
      <c r="C106" s="4" t="n">
        <v>1</v>
      </c>
      <c r="D106" s="5" t="s">
        <v>271</v>
      </c>
      <c r="E106" s="4" t="s">
        <v>429</v>
      </c>
      <c r="F106" s="5" t="s">
        <v>430</v>
      </c>
    </row>
    <row r="107" customFormat="false" ht="15" hidden="false" customHeight="false" outlineLevel="0" collapsed="false">
      <c r="A107" s="4" t="n">
        <v>2</v>
      </c>
      <c r="B107" s="5" t="s">
        <v>32</v>
      </c>
      <c r="C107" s="4" t="n">
        <v>2</v>
      </c>
      <c r="D107" s="5" t="s">
        <v>274</v>
      </c>
      <c r="E107" s="4" t="s">
        <v>431</v>
      </c>
      <c r="F107" s="5" t="s">
        <v>407</v>
      </c>
    </row>
    <row r="108" customFormat="false" ht="15" hidden="false" customHeight="false" outlineLevel="0" collapsed="false">
      <c r="A108" s="4" t="n">
        <v>2</v>
      </c>
      <c r="B108" s="5" t="s">
        <v>32</v>
      </c>
      <c r="C108" s="4" t="n">
        <v>3</v>
      </c>
      <c r="D108" s="5" t="s">
        <v>277</v>
      </c>
      <c r="E108" s="4" t="s">
        <v>431</v>
      </c>
      <c r="F108" s="5" t="s">
        <v>312</v>
      </c>
    </row>
    <row r="109" customFormat="false" ht="15" hidden="false" customHeight="false" outlineLevel="0" collapsed="false">
      <c r="A109" s="4" t="n">
        <v>2</v>
      </c>
      <c r="B109" s="5" t="s">
        <v>32</v>
      </c>
      <c r="C109" s="4" t="n">
        <v>4</v>
      </c>
      <c r="D109" s="5" t="s">
        <v>274</v>
      </c>
      <c r="E109" s="4" t="s">
        <v>432</v>
      </c>
      <c r="F109" s="5" t="s">
        <v>314</v>
      </c>
    </row>
    <row r="110" customFormat="false" ht="15" hidden="false" customHeight="false" outlineLevel="0" collapsed="false">
      <c r="A110" s="4" t="n">
        <v>2</v>
      </c>
      <c r="B110" s="5" t="s">
        <v>32</v>
      </c>
      <c r="C110" s="4" t="n">
        <v>5</v>
      </c>
      <c r="D110" s="5" t="s">
        <v>274</v>
      </c>
      <c r="E110" s="4" t="s">
        <v>432</v>
      </c>
      <c r="F110" s="5" t="s">
        <v>315</v>
      </c>
    </row>
    <row r="111" customFormat="false" ht="15" hidden="false" customHeight="false" outlineLevel="0" collapsed="false">
      <c r="A111" s="4" t="n">
        <v>2</v>
      </c>
      <c r="B111" s="5" t="s">
        <v>32</v>
      </c>
      <c r="C111" s="4" t="n">
        <v>6</v>
      </c>
      <c r="D111" s="5" t="s">
        <v>277</v>
      </c>
      <c r="E111" s="4" t="s">
        <v>433</v>
      </c>
      <c r="F111" s="5" t="s">
        <v>317</v>
      </c>
    </row>
    <row r="112" customFormat="false" ht="15" hidden="false" customHeight="false" outlineLevel="0" collapsed="false">
      <c r="A112" s="4" t="n">
        <v>2</v>
      </c>
      <c r="B112" s="5" t="s">
        <v>32</v>
      </c>
      <c r="C112" s="4" t="n">
        <v>7</v>
      </c>
      <c r="D112" s="5" t="s">
        <v>271</v>
      </c>
      <c r="E112" s="4" t="s">
        <v>434</v>
      </c>
      <c r="F112" s="5" t="s">
        <v>435</v>
      </c>
    </row>
    <row r="113" customFormat="false" ht="15" hidden="false" customHeight="false" outlineLevel="0" collapsed="false">
      <c r="A113" s="4" t="n">
        <v>2</v>
      </c>
      <c r="B113" s="5" t="s">
        <v>32</v>
      </c>
      <c r="C113" s="4" t="n">
        <v>8</v>
      </c>
      <c r="D113" s="5" t="s">
        <v>271</v>
      </c>
      <c r="E113" s="4" t="s">
        <v>436</v>
      </c>
      <c r="F113" s="5" t="s">
        <v>342</v>
      </c>
    </row>
    <row r="114" customFormat="false" ht="15" hidden="false" customHeight="false" outlineLevel="0" collapsed="false">
      <c r="A114" s="4" t="n">
        <v>2</v>
      </c>
      <c r="B114" s="5" t="s">
        <v>32</v>
      </c>
      <c r="C114" s="4" t="n">
        <v>9</v>
      </c>
      <c r="D114" s="5" t="s">
        <v>283</v>
      </c>
      <c r="E114" s="4" t="s">
        <v>437</v>
      </c>
      <c r="F114" s="5" t="s">
        <v>438</v>
      </c>
    </row>
    <row r="115" customFormat="false" ht="15" hidden="false" customHeight="false" outlineLevel="0" collapsed="false">
      <c r="A115" s="4" t="n">
        <v>2</v>
      </c>
      <c r="B115" s="5" t="s">
        <v>34</v>
      </c>
      <c r="C115" s="4" t="n">
        <v>1</v>
      </c>
      <c r="D115" s="5" t="s">
        <v>271</v>
      </c>
      <c r="E115" s="4" t="s">
        <v>439</v>
      </c>
      <c r="F115" s="5" t="s">
        <v>358</v>
      </c>
    </row>
    <row r="116" customFormat="false" ht="15" hidden="false" customHeight="false" outlineLevel="0" collapsed="false">
      <c r="A116" s="4" t="n">
        <v>2</v>
      </c>
      <c r="B116" s="5" t="s">
        <v>34</v>
      </c>
      <c r="C116" s="4" t="n">
        <v>2</v>
      </c>
      <c r="D116" s="5" t="s">
        <v>274</v>
      </c>
      <c r="E116" s="4" t="s">
        <v>440</v>
      </c>
      <c r="F116" s="5" t="s">
        <v>407</v>
      </c>
    </row>
    <row r="117" customFormat="false" ht="15" hidden="false" customHeight="false" outlineLevel="0" collapsed="false">
      <c r="A117" s="4" t="n">
        <v>2</v>
      </c>
      <c r="B117" s="5" t="s">
        <v>34</v>
      </c>
      <c r="C117" s="4" t="n">
        <v>3</v>
      </c>
      <c r="D117" s="5" t="s">
        <v>274</v>
      </c>
      <c r="E117" s="4" t="s">
        <v>440</v>
      </c>
      <c r="F117" s="5" t="s">
        <v>408</v>
      </c>
    </row>
    <row r="118" customFormat="false" ht="15" hidden="false" customHeight="false" outlineLevel="0" collapsed="false">
      <c r="A118" s="4" t="n">
        <v>2</v>
      </c>
      <c r="B118" s="5" t="s">
        <v>34</v>
      </c>
      <c r="C118" s="4" t="n">
        <v>4</v>
      </c>
      <c r="D118" s="5" t="s">
        <v>274</v>
      </c>
      <c r="E118" s="4" t="s">
        <v>440</v>
      </c>
      <c r="F118" s="5" t="s">
        <v>361</v>
      </c>
    </row>
    <row r="119" customFormat="false" ht="15" hidden="false" customHeight="false" outlineLevel="0" collapsed="false">
      <c r="A119" s="4" t="n">
        <v>2</v>
      </c>
      <c r="B119" s="5" t="s">
        <v>34</v>
      </c>
      <c r="C119" s="4" t="n">
        <v>5</v>
      </c>
      <c r="D119" s="5" t="s">
        <v>277</v>
      </c>
      <c r="E119" s="4" t="s">
        <v>441</v>
      </c>
      <c r="F119" s="5" t="s">
        <v>317</v>
      </c>
    </row>
    <row r="120" customFormat="false" ht="15" hidden="false" customHeight="false" outlineLevel="0" collapsed="false">
      <c r="A120" s="4" t="n">
        <v>2</v>
      </c>
      <c r="B120" s="5" t="s">
        <v>34</v>
      </c>
      <c r="C120" s="4" t="n">
        <v>6</v>
      </c>
      <c r="D120" s="5" t="s">
        <v>271</v>
      </c>
      <c r="E120" s="4" t="s">
        <v>442</v>
      </c>
      <c r="F120" s="5" t="s">
        <v>443</v>
      </c>
    </row>
    <row r="121" customFormat="false" ht="15" hidden="false" customHeight="false" outlineLevel="0" collapsed="false">
      <c r="A121" s="4" t="n">
        <v>2</v>
      </c>
      <c r="B121" s="5" t="s">
        <v>34</v>
      </c>
      <c r="C121" s="4" t="n">
        <v>7</v>
      </c>
      <c r="D121" s="5" t="s">
        <v>274</v>
      </c>
      <c r="E121" s="4" t="s">
        <v>444</v>
      </c>
      <c r="F121" s="5" t="s">
        <v>295</v>
      </c>
    </row>
    <row r="122" customFormat="false" ht="15" hidden="false" customHeight="false" outlineLevel="0" collapsed="false">
      <c r="A122" s="4" t="n">
        <v>2</v>
      </c>
      <c r="B122" s="5" t="s">
        <v>34</v>
      </c>
      <c r="C122" s="4" t="n">
        <v>8</v>
      </c>
      <c r="D122" s="5" t="s">
        <v>277</v>
      </c>
      <c r="E122" s="4" t="s">
        <v>445</v>
      </c>
      <c r="F122" s="5" t="s">
        <v>446</v>
      </c>
    </row>
    <row r="123" customFormat="false" ht="15" hidden="false" customHeight="false" outlineLevel="0" collapsed="false">
      <c r="A123" s="4" t="n">
        <v>2</v>
      </c>
      <c r="B123" s="5" t="s">
        <v>34</v>
      </c>
      <c r="C123" s="4" t="n">
        <v>9</v>
      </c>
      <c r="D123" s="5" t="s">
        <v>283</v>
      </c>
      <c r="E123" s="4" t="s">
        <v>447</v>
      </c>
      <c r="F123" s="5" t="s">
        <v>448</v>
      </c>
    </row>
    <row r="124" customFormat="false" ht="15" hidden="false" customHeight="false" outlineLevel="0" collapsed="false">
      <c r="A124" s="4" t="n">
        <v>2</v>
      </c>
      <c r="B124" s="5" t="s">
        <v>36</v>
      </c>
      <c r="C124" s="4" t="n">
        <v>1</v>
      </c>
      <c r="D124" s="5" t="s">
        <v>271</v>
      </c>
      <c r="E124" s="4" t="s">
        <v>449</v>
      </c>
      <c r="F124" s="5" t="s">
        <v>358</v>
      </c>
    </row>
    <row r="125" customFormat="false" ht="15" hidden="false" customHeight="false" outlineLevel="0" collapsed="false">
      <c r="A125" s="4" t="n">
        <v>2</v>
      </c>
      <c r="B125" s="5" t="s">
        <v>36</v>
      </c>
      <c r="C125" s="4" t="n">
        <v>2</v>
      </c>
      <c r="D125" s="5" t="s">
        <v>274</v>
      </c>
      <c r="E125" s="4" t="s">
        <v>450</v>
      </c>
      <c r="F125" s="5" t="s">
        <v>407</v>
      </c>
    </row>
    <row r="126" customFormat="false" ht="15" hidden="false" customHeight="false" outlineLevel="0" collapsed="false">
      <c r="A126" s="4" t="n">
        <v>2</v>
      </c>
      <c r="B126" s="5" t="s">
        <v>36</v>
      </c>
      <c r="C126" s="4" t="n">
        <v>3</v>
      </c>
      <c r="D126" s="5" t="s">
        <v>274</v>
      </c>
      <c r="E126" s="4" t="s">
        <v>450</v>
      </c>
      <c r="F126" s="5" t="s">
        <v>408</v>
      </c>
    </row>
    <row r="127" customFormat="false" ht="15" hidden="false" customHeight="false" outlineLevel="0" collapsed="false">
      <c r="A127" s="4" t="n">
        <v>2</v>
      </c>
      <c r="B127" s="5" t="s">
        <v>36</v>
      </c>
      <c r="C127" s="4" t="n">
        <v>4</v>
      </c>
      <c r="D127" s="5" t="s">
        <v>274</v>
      </c>
      <c r="E127" s="4" t="s">
        <v>450</v>
      </c>
      <c r="F127" s="5" t="s">
        <v>361</v>
      </c>
    </row>
    <row r="128" customFormat="false" ht="15" hidden="false" customHeight="false" outlineLevel="0" collapsed="false">
      <c r="A128" s="4" t="n">
        <v>2</v>
      </c>
      <c r="B128" s="5" t="s">
        <v>36</v>
      </c>
      <c r="C128" s="4" t="n">
        <v>5</v>
      </c>
      <c r="D128" s="5" t="s">
        <v>277</v>
      </c>
      <c r="E128" s="4" t="s">
        <v>451</v>
      </c>
      <c r="F128" s="5" t="s">
        <v>317</v>
      </c>
    </row>
    <row r="129" customFormat="false" ht="15" hidden="false" customHeight="false" outlineLevel="0" collapsed="false">
      <c r="A129" s="4" t="n">
        <v>2</v>
      </c>
      <c r="B129" s="5" t="s">
        <v>36</v>
      </c>
      <c r="C129" s="4" t="n">
        <v>6</v>
      </c>
      <c r="D129" s="5" t="s">
        <v>271</v>
      </c>
      <c r="E129" s="4" t="s">
        <v>452</v>
      </c>
      <c r="F129" s="5" t="s">
        <v>453</v>
      </c>
    </row>
    <row r="130" customFormat="false" ht="15" hidden="false" customHeight="false" outlineLevel="0" collapsed="false">
      <c r="A130" s="4" t="n">
        <v>2</v>
      </c>
      <c r="B130" s="5" t="s">
        <v>36</v>
      </c>
      <c r="C130" s="4" t="n">
        <v>7</v>
      </c>
      <c r="D130" s="5" t="s">
        <v>274</v>
      </c>
      <c r="E130" s="4" t="s">
        <v>454</v>
      </c>
      <c r="F130" s="5" t="s">
        <v>455</v>
      </c>
    </row>
    <row r="131" customFormat="false" ht="15" hidden="false" customHeight="false" outlineLevel="0" collapsed="false">
      <c r="A131" s="4" t="n">
        <v>2</v>
      </c>
      <c r="B131" s="5" t="s">
        <v>36</v>
      </c>
      <c r="C131" s="4" t="n">
        <v>8</v>
      </c>
      <c r="D131" s="5" t="s">
        <v>274</v>
      </c>
      <c r="E131" s="4" t="s">
        <v>456</v>
      </c>
      <c r="F131" s="5" t="s">
        <v>457</v>
      </c>
    </row>
    <row r="132" customFormat="false" ht="15" hidden="false" customHeight="false" outlineLevel="0" collapsed="false">
      <c r="A132" s="4" t="n">
        <v>2</v>
      </c>
      <c r="B132" s="5" t="s">
        <v>36</v>
      </c>
      <c r="C132" s="4" t="n">
        <v>9</v>
      </c>
      <c r="D132" s="5" t="s">
        <v>283</v>
      </c>
      <c r="E132" s="4" t="s">
        <v>458</v>
      </c>
      <c r="F132" s="5" t="s">
        <v>459</v>
      </c>
    </row>
    <row r="133" customFormat="false" ht="15" hidden="false" customHeight="false" outlineLevel="0" collapsed="false">
      <c r="A133" s="4" t="n">
        <v>2</v>
      </c>
      <c r="B133" s="5" t="s">
        <v>38</v>
      </c>
      <c r="C133" s="4" t="n">
        <v>1</v>
      </c>
      <c r="D133" s="5" t="s">
        <v>271</v>
      </c>
      <c r="E133" s="4" t="s">
        <v>460</v>
      </c>
      <c r="F133" s="5" t="s">
        <v>461</v>
      </c>
    </row>
    <row r="134" customFormat="false" ht="15" hidden="false" customHeight="false" outlineLevel="0" collapsed="false">
      <c r="A134" s="4" t="n">
        <v>2</v>
      </c>
      <c r="B134" s="5" t="s">
        <v>38</v>
      </c>
      <c r="C134" s="4" t="n">
        <v>2</v>
      </c>
      <c r="D134" s="5" t="s">
        <v>274</v>
      </c>
      <c r="E134" s="4" t="s">
        <v>462</v>
      </c>
      <c r="F134" s="5" t="s">
        <v>311</v>
      </c>
    </row>
    <row r="135" customFormat="false" ht="15" hidden="false" customHeight="false" outlineLevel="0" collapsed="false">
      <c r="A135" s="4" t="n">
        <v>2</v>
      </c>
      <c r="B135" s="5" t="s">
        <v>38</v>
      </c>
      <c r="C135" s="4" t="n">
        <v>3</v>
      </c>
      <c r="D135" s="5" t="s">
        <v>277</v>
      </c>
      <c r="E135" s="4" t="s">
        <v>462</v>
      </c>
      <c r="F135" s="5" t="s">
        <v>312</v>
      </c>
    </row>
    <row r="136" customFormat="false" ht="15" hidden="false" customHeight="false" outlineLevel="0" collapsed="false">
      <c r="A136" s="4" t="n">
        <v>2</v>
      </c>
      <c r="B136" s="5" t="s">
        <v>38</v>
      </c>
      <c r="C136" s="4" t="n">
        <v>4</v>
      </c>
      <c r="D136" s="5" t="s">
        <v>274</v>
      </c>
      <c r="E136" s="4" t="s">
        <v>463</v>
      </c>
      <c r="F136" s="5" t="s">
        <v>314</v>
      </c>
    </row>
    <row r="137" customFormat="false" ht="15" hidden="false" customHeight="false" outlineLevel="0" collapsed="false">
      <c r="A137" s="4" t="n">
        <v>2</v>
      </c>
      <c r="B137" s="5" t="s">
        <v>38</v>
      </c>
      <c r="C137" s="4" t="n">
        <v>5</v>
      </c>
      <c r="D137" s="5" t="s">
        <v>274</v>
      </c>
      <c r="E137" s="4" t="s">
        <v>463</v>
      </c>
      <c r="F137" s="5" t="s">
        <v>361</v>
      </c>
    </row>
    <row r="138" customFormat="false" ht="15" hidden="false" customHeight="false" outlineLevel="0" collapsed="false">
      <c r="A138" s="4" t="n">
        <v>2</v>
      </c>
      <c r="B138" s="5" t="s">
        <v>38</v>
      </c>
      <c r="C138" s="4" t="n">
        <v>6</v>
      </c>
      <c r="D138" s="5" t="s">
        <v>277</v>
      </c>
      <c r="E138" s="4" t="s">
        <v>464</v>
      </c>
      <c r="F138" s="5" t="s">
        <v>317</v>
      </c>
    </row>
    <row r="139" customFormat="false" ht="15" hidden="false" customHeight="false" outlineLevel="0" collapsed="false">
      <c r="A139" s="4" t="n">
        <v>2</v>
      </c>
      <c r="B139" s="5" t="s">
        <v>38</v>
      </c>
      <c r="C139" s="4" t="n">
        <v>7</v>
      </c>
      <c r="D139" s="5" t="s">
        <v>274</v>
      </c>
      <c r="E139" s="4" t="s">
        <v>465</v>
      </c>
      <c r="F139" s="5" t="s">
        <v>466</v>
      </c>
    </row>
    <row r="140" customFormat="false" ht="15" hidden="false" customHeight="false" outlineLevel="0" collapsed="false">
      <c r="A140" s="4" t="n">
        <v>2</v>
      </c>
      <c r="B140" s="5" t="s">
        <v>38</v>
      </c>
      <c r="C140" s="4" t="n">
        <v>8</v>
      </c>
      <c r="D140" s="5" t="s">
        <v>274</v>
      </c>
      <c r="E140" s="4" t="s">
        <v>465</v>
      </c>
      <c r="F140" s="5" t="s">
        <v>467</v>
      </c>
    </row>
    <row r="141" customFormat="false" ht="15" hidden="false" customHeight="false" outlineLevel="0" collapsed="false">
      <c r="A141" s="4" t="n">
        <v>2</v>
      </c>
      <c r="B141" s="5" t="s">
        <v>38</v>
      </c>
      <c r="C141" s="4" t="n">
        <v>9</v>
      </c>
      <c r="D141" s="5" t="s">
        <v>277</v>
      </c>
      <c r="E141" s="4" t="s">
        <v>468</v>
      </c>
      <c r="F141" s="5" t="s">
        <v>469</v>
      </c>
    </row>
    <row r="142" customFormat="false" ht="15" hidden="false" customHeight="false" outlineLevel="0" collapsed="false">
      <c r="A142" s="4" t="n">
        <v>2</v>
      </c>
      <c r="B142" s="5" t="s">
        <v>38</v>
      </c>
      <c r="C142" s="4" t="n">
        <v>10</v>
      </c>
      <c r="D142" s="5" t="s">
        <v>271</v>
      </c>
      <c r="E142" s="4" t="s">
        <v>470</v>
      </c>
      <c r="F142" s="5" t="s">
        <v>471</v>
      </c>
    </row>
    <row r="143" customFormat="false" ht="15" hidden="false" customHeight="false" outlineLevel="0" collapsed="false">
      <c r="A143" s="4" t="n">
        <v>2</v>
      </c>
      <c r="B143" s="5" t="s">
        <v>38</v>
      </c>
      <c r="C143" s="4" t="n">
        <v>11</v>
      </c>
      <c r="D143" s="5" t="s">
        <v>274</v>
      </c>
      <c r="E143" s="4" t="s">
        <v>472</v>
      </c>
      <c r="F143" s="5" t="s">
        <v>396</v>
      </c>
    </row>
    <row r="144" customFormat="false" ht="15" hidden="false" customHeight="false" outlineLevel="0" collapsed="false">
      <c r="A144" s="4" t="n">
        <v>2</v>
      </c>
      <c r="B144" s="5" t="s">
        <v>38</v>
      </c>
      <c r="C144" s="4" t="n">
        <v>12</v>
      </c>
      <c r="D144" s="5" t="s">
        <v>277</v>
      </c>
      <c r="E144" s="4" t="s">
        <v>473</v>
      </c>
      <c r="F144" s="5" t="s">
        <v>474</v>
      </c>
    </row>
    <row r="145" customFormat="false" ht="15" hidden="false" customHeight="false" outlineLevel="0" collapsed="false">
      <c r="A145" s="4" t="n">
        <v>2</v>
      </c>
      <c r="B145" s="5" t="s">
        <v>38</v>
      </c>
      <c r="C145" s="4" t="n">
        <v>13</v>
      </c>
      <c r="D145" s="5" t="s">
        <v>283</v>
      </c>
      <c r="E145" s="4" t="s">
        <v>475</v>
      </c>
      <c r="F145" s="5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2026-10-09T08:28:36Z</dcterms:created>
  <dc:creator>openpyxl</dc:creator>
  <dc:description/>
  <dc:language>en-US</dc:language>
  <cp:lastModifiedBy/>
  <dcterms:modified xsi:type="dcterms:W3CDTF">2026-10-09T08:28:36Z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