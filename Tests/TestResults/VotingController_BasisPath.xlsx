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agram 1 Paths" sheetId="2" state="visible" r:id="rId4"/>
    <sheet name="Diagram 2 Paths" sheetId="3" state="visible" r:id="rId5"/>
    <sheet name="Node Legend" sheetId="4" state="visible" r:id="rId6"/>
    <sheet name="Diagram 1" sheetId="5" state="visible" r:id="rId7"/>
    <sheet name="Diagram 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<sst xmlns="http://schemas.openxmlformats.org/spreadsheetml/2006/main" count="673" uniqueCount="320">
  <si>
    <t xml:space="preserve">Basis path testing: VotingController (5 of 7 actions: Vote, PublicResults, Search, Join, CastVote)</t>
  </si>
  <si>
    <t xml:space="preserve">V(G) = number of decision nodes + 1, cross-checked with V(G) = E - N + 2 on the flow graph. Node numbers match the diagrams and the Node Legend.</t>
  </si>
  <si>
    <t xml:space="preserve">Diagram</t>
  </si>
  <si>
    <t xml:space="preserve">Action</t>
  </si>
  <si>
    <t xml:space="preserve">Source lines</t>
  </si>
  <si>
    <t xml:space="preserve">Decision nodes (P)</t>
  </si>
  <si>
    <t xml:space="preserve">V(G) = P + 1</t>
  </si>
  <si>
    <t xml:space="preserve">Edges (E)</t>
  </si>
  <si>
    <t xml:space="preserve">Nodes (N, incl. End)</t>
  </si>
  <si>
    <t xml:space="preserve">V(G) = E - N + 2</t>
  </si>
  <si>
    <t xml:space="preserve">Check</t>
  </si>
  <si>
    <t xml:space="preserve">Paths listed</t>
  </si>
  <si>
    <t xml:space="preserve">Covered</t>
  </si>
  <si>
    <t xml:space="preserve">No test</t>
  </si>
  <si>
    <t xml:space="preserve">Infeasible</t>
  </si>
  <si>
    <t xml:space="preserve">Predicted fail</t>
  </si>
  <si>
    <t xml:space="preserve">Vote (GET)</t>
  </si>
  <si>
    <t xml:space="preserve">25-58</t>
  </si>
  <si>
    <t xml:space="preserve">PublicResults (GET)</t>
  </si>
  <si>
    <t xml:space="preserve">62-78</t>
  </si>
  <si>
    <t xml:space="preserve">Search (GET, JSON)</t>
  </si>
  <si>
    <t xml:space="preserve">84-109</t>
  </si>
  <si>
    <t xml:space="preserve">Join (POST)</t>
  </si>
  <si>
    <t xml:space="preserve">117-166</t>
  </si>
  <si>
    <t xml:space="preserve">CastVote (POST)</t>
  </si>
  <si>
    <t xml:space="preserve">174-276</t>
  </si>
  <si>
    <t xml:space="preserve">Total</t>
  </si>
  <si>
    <t xml:space="preserve">Counting rule (same as the ProgramOwner workbook): every if, every &amp;&amp; / || operand, every ternary and every catch is one decision node.</t>
  </si>
  <si>
    <t xml:space="preserve">Blue numbers are read from the flow graphs (decision nodes, edges, nodes incl. End). Both V(G) formulas must agree; Check shows OK.</t>
  </si>
  <si>
    <t xml:space="preserve">'Infeasible' paths are part of the basis (the count must equal V(G)) but cannot be run: dead code or correlated decisions (see Note column).</t>
  </si>
  <si>
    <t xml:space="preserve">Predicted results come from reading the code; no test run was possible when this file was made. Fill the yellow 'Run result' cells after running.</t>
  </si>
  <si>
    <t xml:space="preserve">The comment at the top of VotingControllerBasisPathTests.cs gives V(G) = 12 for CastVote (coarser count); this workbook counts 15 with the rule above.</t>
  </si>
  <si>
    <t xml:space="preserve">Diagram 1: independent paths per action (basis set; node numbers as in the diagram, (T)/(F) = decision outcome)</t>
  </si>
  <si>
    <t xml:space="preserve">Path</t>
  </si>
  <si>
    <t xml:space="preserve">Node sequence</t>
  </si>
  <si>
    <t xml:space="preserve">Condition outcomes</t>
  </si>
  <si>
    <t xml:space="preserve">Expected result</t>
  </si>
  <si>
    <t xml:space="preserve">xUnit method(s) covering the path</t>
  </si>
  <si>
    <t xml:space="preserve">Coverage</t>
  </si>
  <si>
    <t xml:space="preserve">Predicted result</t>
  </si>
  <si>
    <t xml:space="preserve">Run result</t>
  </si>
  <si>
    <t xml:space="preserve">Note</t>
  </si>
  <si>
    <t xml:space="preserve">P1</t>
  </si>
  <si>
    <t xml:space="preserve">1 → 2(T) → 3 → End</t>
  </si>
  <si>
    <t xml:space="preserve">program not found</t>
  </si>
  <si>
    <t xml:space="preserve">NotFoundResult (404)</t>
  </si>
  <si>
    <t xml:space="preserve">BP-01  VotingControllerBasisPath_Vote.BP_01_Vote_ProgramMissing_IsNotFound</t>
  </si>
  <si>
    <t xml:space="preserve">Pass</t>
  </si>
  <si>
    <t xml:space="preserve">Not run</t>
  </si>
  <si>
    <t xml:space="preserve">P2</t>
  </si>
  <si>
    <t xml:space="preserve">1 → 2(F) → 4 → 5(T) → 6 → End</t>
  </si>
  <si>
    <t xml:space="preserve">program exists but is not open (draft / upcoming / ended)</t>
  </si>
  <si>
    <t xml:space="preserve">View 'Closed' with the 'not currently active' message</t>
  </si>
  <si>
    <t xml:space="preserve">BP-02  VotingControllerBasisPath_Vote.BP_02_Vote_ProgramEnded_ReturnsClosedView  (BVA Extra_Vote_PageIsClosedWhenVotingEndedOneSecondAgo)</t>
  </si>
  <si>
    <t xml:space="preserve">P3</t>
  </si>
  <si>
    <t xml:space="preserve">1 → 2(F) → 4 → 5(F) → 7(T) → 8 → 10 → 11(F) → 13 → 14 → End</t>
  </si>
  <si>
    <t xml:space="preserve">open program; anonymous visitor</t>
  </si>
  <si>
    <t xml:space="preserve">View(program); IsRegisteredVoter = false; RemainingTime &gt; 0</t>
  </si>
  <si>
    <t xml:space="preserve">BP-03  VotingControllerBasisPath_Vote.BP_03_Vote_OpenProgram_Anonymous_ShowsPageWithoutRegistration  (+ P3b_Vote_PrincipalWithoutIdentity_IsTreatedAsAnonymous)</t>
  </si>
  <si>
    <t xml:space="preserve">P4</t>
  </si>
  <si>
    <t xml:space="preserve">1 → 2(F) → 4 → 5(F) → 7(T) → 8 → 10 → 11(T) → 12 → 14 → End</t>
  </si>
  <si>
    <t xml:space="preserve">open program; signed-in user</t>
  </si>
  <si>
    <t xml:space="preserve">View(program); IsRegisteredVoter taken from the Voters table</t>
  </si>
  <si>
    <t xml:space="preserve">VotingControllerBasisPath_Vote.P4_Vote_OpenProgram_SignedInRegisteredVoter_IsRegistered  (+ ECT Extra_Vote_RegisteredFlagFollowsVoterRegistration)</t>
  </si>
  <si>
    <t xml:space="preserve">P5</t>
  </si>
  <si>
    <t xml:space="preserve">1 → 2(F) → 4 → 5(F) → 7(F) → 9 → 10 → 11(F) → 13 → 14 → End</t>
  </si>
  <si>
    <t xml:space="preserve">open program but EndTime &lt;= now (ternary false branch)</t>
  </si>
  <si>
    <t xml:space="preserve">RemainingTime = null</t>
  </si>
  <si>
    <t xml:space="preserve">-</t>
  </si>
  <si>
    <t xml:space="preserve">n/a</t>
  </si>
  <si>
    <t xml:space="preserve">Dead code: IsOpenAt(now) already requires now &lt; EndTime, so EndTime &gt; now is always true here. Not testable.</t>
  </si>
  <si>
    <t xml:space="preserve">1 → 2(T) → 4 → End</t>
  </si>
  <si>
    <t xml:space="preserve">NotFoundResult</t>
  </si>
  <si>
    <t xml:space="preserve">BP-04  VotingControllerBasisPath_PublicResults.BP_04_PublicResults_ProgramMissing_IsNotFound</t>
  </si>
  <si>
    <t xml:space="preserve">1 → 2(F) → 3(T) → 4 → End</t>
  </si>
  <si>
    <t xml:space="preserve">program exists but is unpublished (draft)</t>
  </si>
  <si>
    <t xml:space="preserve">NotFoundResult (drafts are hidden)</t>
  </si>
  <si>
    <t xml:space="preserve">VotingControllerBasisPath_PublicResults.P2_PublicResults_UnpublishedProgram_IsNotFound  (+ ECT Extra_PublicResults_UnpublishedProgram_IsNotFound)</t>
  </si>
  <si>
    <t xml:space="preserve">1 → 2(F) → 3(F) → 5 → 6 → 7 → End</t>
  </si>
  <si>
    <t xml:space="preserve">published program</t>
  </si>
  <si>
    <t xml:space="preserve">View 'PublicResults'; TotalVotes = sum of counts; BlockchainValid set</t>
  </si>
  <si>
    <t xml:space="preserve">BP-05  VotingControllerBasisPath_PublicResults.BP_05_PublicResults_PublishedProgram_ReturnsViewWithTotals  (+ Extra_PublicResults_TamperedChain_IsReportedAsInvalid)</t>
  </si>
  <si>
    <t xml:space="preserve">1(T) → 2 → End</t>
  </si>
  <si>
    <t xml:space="preserve">q is null / empty / whitespace</t>
  </si>
  <si>
    <t xml:space="preserve">Json([])  (no database access)</t>
  </si>
  <si>
    <t xml:space="preserve">BP-06  VotingControllerBasisPath_Search.BP_06_Search_BlankQuery_ReturnsEmptyArray  (+ ECT Extra_Search_BlankQueryClass_ReturnsEmptyArray)</t>
  </si>
  <si>
    <t xml:space="preserve">1(F) → 3 → 4 → 5 → End</t>
  </si>
  <si>
    <t xml:space="preserve">q has text</t>
  </si>
  <si>
    <t xml:space="preserve">Json(list with the matching published programs, max 8)</t>
  </si>
  <si>
    <t xml:space="preserve">BP-07  VotingControllerBasisPath_Search.BP_07_Search_ValidQuery_ReturnsMatchingProgram</t>
  </si>
  <si>
    <t xml:space="preserve">Fail</t>
  </si>
  <si>
    <t xml:space="preserve">Predicted FAIL: OrderByDescending(p =&gt; p.IsActive) uses a [NotMapped] property that EF Core cannot translate (defect DV-01).</t>
  </si>
  <si>
    <t xml:space="preserve">no NameIdentifier claim</t>
  </si>
  <si>
    <t xml:space="preserve">UnauthorizedResult</t>
  </si>
  <si>
    <t xml:space="preserve">VotingControllerBasisPath_Join.P1_Join_NoUserId_IsUnauthorized  (+ ECT Extra_Join_NoNameIdentifierClaim_IsUnauthorized)</t>
  </si>
  <si>
    <t xml:space="preserve">VotingControllerBasisPath_Join.P2_Join_ProgramMissing_IsNotFound</t>
  </si>
  <si>
    <t xml:space="preserve">1 → 2(F) → 4 → 5(F) → 7 → 8(T) → 10 → End</t>
  </si>
  <si>
    <t xml:space="preserve">program is unpublished</t>
  </si>
  <si>
    <t xml:space="preserve">Redirect(Vote) + 'Registration is closed'</t>
  </si>
  <si>
    <t xml:space="preserve">VotingControllerBasisPath_Join.P3_Join_UnpublishedProgram_RegistrationClosed  (+ ECT Extra_Join_UnpublishedProgram_RegistrationIsClosed)</t>
  </si>
  <si>
    <t xml:space="preserve">1 → 2(F) → 4 → 5(F) → 7 → 8(F) → 9(T) → 10 → End</t>
  </si>
  <si>
    <t xml:space="preserve">published but already ended (now &gt;= EndTime)</t>
  </si>
  <si>
    <t xml:space="preserve">Redirect(Vote) + 'Registration is closed'; no voter row</t>
  </si>
  <si>
    <t xml:space="preserve">BP-08  VotingControllerBasisPath_Join.BP_08_Join_EndedProgram_RegistrationClosed</t>
  </si>
  <si>
    <t xml:space="preserve">1 → 2(F) → 4 → 5(F) → 7 → 8(F) → 9(F) → 11 → 12(T) → 13 → End</t>
  </si>
  <si>
    <t xml:space="preserve">user is already registered</t>
  </si>
  <si>
    <t xml:space="preserve">Redirect(Vote) + 'already registered'; no duplicate row</t>
  </si>
  <si>
    <t xml:space="preserve">BP-10  VotingControllerBasisPath_Join.BP_10_Join_AlreadyRegistered_IsRejectedWithoutDuplicate</t>
  </si>
  <si>
    <t xml:space="preserve">P6</t>
  </si>
  <si>
    <t xml:space="preserve">1 → 2(F) → 4 → 5(F) → 7 → 8(F) → 9(F) → 11 → 12(F) → 14 → 15 → 16(F) → 18 → End</t>
  </si>
  <si>
    <t xml:space="preserve">valid join; save succeeds</t>
  </si>
  <si>
    <t xml:space="preserve">Voter row (source 'self') created; Redirect(Vote) + success message</t>
  </si>
  <si>
    <t xml:space="preserve">BP-09  VotingControllerBasisPath_Join.BP_09_Join_ValidUser_CreatesSelfRegisteredVoter  (+ P6b_Join_UserRecordMissing_UsesAnonymousVoterName, ECT Extra_Join_UpcomingProgram_AllowsRegistration)</t>
  </si>
  <si>
    <t xml:space="preserve">P7</t>
  </si>
  <si>
    <t xml:space="preserve">1 → 2(F) → 4 → 5(F) → 7 → 8(F) → 9(F) → 11 → 12(F) → 14 → 15 → 16(T) → 17 → End</t>
  </si>
  <si>
    <t xml:space="preserve">SaveChangesAsync throws DbUpdateException</t>
  </si>
  <si>
    <t xml:space="preserve">Redirect(Vote) + 'could not be completed'</t>
  </si>
  <si>
    <t xml:space="preserve">VotingControllerBasisPath_Join.P7_Join_DbUpdateException_ShowsFriendlyError</t>
  </si>
  <si>
    <t xml:space="preserve">Diagram 2: independent paths per action (basis set; node numbers as in the diagram, (T)/(F) = decision outcome)</t>
  </si>
  <si>
    <t xml:space="preserve">ECT-01  VotingControllerBasisPath_CastVote.P01_CastVote_NoUserId_IsUnauthorized  (= VotingControllerEctTests.ECT_01_...)</t>
  </si>
  <si>
    <t xml:space="preserve">BP-11  VotingControllerBasisPath_CastVote.BP_11_CastVote_ProgramMissing_IsNotFound</t>
  </si>
  <si>
    <t xml:space="preserve">1 → 2(F) → 4 → 5(F) → 7 → 8(T) → 9 → End</t>
  </si>
  <si>
    <t xml:space="preserve">program not open (draft / upcoming / ended)</t>
  </si>
  <si>
    <t xml:space="preserve">Redirect(Vote) + 'no longer active'; no vote stored</t>
  </si>
  <si>
    <t xml:space="preserve">VotingControllerBasisPath_CastVote.P03_CastVote_ProgramNotOpen_IsRejected  (= ECT-02/03/04, BVA-06, BVA-08)</t>
  </si>
  <si>
    <t xml:space="preserve">1 → 2(F) → 4 → 5(F) → 7 → 8(F) → 10 → 11(T) → 12 → End</t>
  </si>
  <si>
    <t xml:space="preserve">signed-in user is not a registered voter</t>
  </si>
  <si>
    <t xml:space="preserve">Redirect(Vote) + 'not registered'</t>
  </si>
  <si>
    <t xml:space="preserve">VotingControllerBasisPath_CastVote.P04_CastVote_VoterMissing_IsRejected  (= ECT-05)</t>
  </si>
  <si>
    <t xml:space="preserve">1 → 2(F) → 4 → 5(F) → 7 → 8(F) → 10 → 11(F) → 13(T) → 14 → End</t>
  </si>
  <si>
    <t xml:space="preserve">voter.HasVoted = true</t>
  </si>
  <si>
    <t xml:space="preserve">Redirect(Vote) + 'already cast'</t>
  </si>
  <si>
    <t xml:space="preserve">VotingControllerBasisPath_CastVote.P05_CastVote_AlreadyVoted_IsRejected  (= ECT-06; + Extra_CastVote_SecondAttempt_IsRefused)</t>
  </si>
  <si>
    <t xml:space="preserve">1 → 2(F) → 4 → 5(F) → 7 → 8(F) → 10 → 11(F) → 13(F) → 15 → 16(T) → 17 → End</t>
  </si>
  <si>
    <t xml:space="preserve">candidateId not a candidate of the program</t>
  </si>
  <si>
    <t xml:space="preserve">Redirect(Vote) + 'Invalid candidate'</t>
  </si>
  <si>
    <t xml:space="preserve">VotingControllerBasisPath_CastVote.P06_CastVote_UnknownCandidate_IsRejected  (= ECT-07, BVA-09)</t>
  </si>
  <si>
    <t xml:space="preserve">1 → 2(F) → 4 → 5(F) → 7 → 8(F) → 10 → 11(F) → 13(F) → 15 → 16(F) → 18 → 19(F) → 20(F) → 21 → 22(F) → 24 → End</t>
  </si>
  <si>
    <t xml:space="preserve">all checks pass; save + commit succeed; block queued</t>
  </si>
  <si>
    <t xml:space="preserve">Vote + HasVoted saved; Redirect(ThankYou); no Warning</t>
  </si>
  <si>
    <t xml:space="preserve">BP-12  VotingControllerBasisPath_CastVote.BP_12_CastVote_Success_BlockQueued_NoWarning  (= ECT-08, BVA-07)</t>
  </si>
  <si>
    <t xml:space="preserve">P8</t>
  </si>
  <si>
    <t xml:space="preserve">1 → 2(F) → 4 → 5(F) → 7 → 8(F) → 10 → 11(F) → 13(F) → 15 → 16(F) → 18 → 19(F) → 20(F) → 21 → 22(T) → 23 → 24 → End</t>
  </si>
  <si>
    <t xml:space="preserve">success but TryEnqueue returns false (queue full)</t>
  </si>
  <si>
    <t xml:space="preserve">Vote kept; Warning set; Redirect(ThankYou)</t>
  </si>
  <si>
    <t xml:space="preserve">BP-13  VotingControllerBasisPath_CastVote.BP_13_CastVote_Success_QueueFull_ShowsWarning</t>
  </si>
  <si>
    <t xml:space="preserve">P9</t>
  </si>
  <si>
    <t xml:space="preserve">1 → 2(F) → 4 → 5(F) → 7 → 8(F) → 10 → 11(F) → 13(F) → 15 → 16(F) → 18 → 19(T) → 25 → 26(F) → 29(F) → 31(F) → 32(T) → 33 → End</t>
  </si>
  <si>
    <t xml:space="preserve">DbUpdateException, inner is not Npgsql, message contains 'unique constraint'</t>
  </si>
  <si>
    <t xml:space="preserve">VotingControllerBasisPath_CastVote.P09_CastVote_UniqueViolationMessage_ShowsAlreadyVoted  (+ P09b_CastVote_RealUniqueIndex_RejectsSecondVote)</t>
  </si>
  <si>
    <t xml:space="preserve">P10</t>
  </si>
  <si>
    <t xml:space="preserve">1 → 2(F) → 4 → 5(F) → 7 → 8(F) → 10 → 11(F) → 13(F) → 15 → 16(F) → 18 → 19(T) → 25 → 26(F) → 29(F) → 31(F) → 32(F) → 34 → End</t>
  </si>
  <si>
    <t xml:space="preserve">DbUpdateException, inner is not Npgsql, other message</t>
  </si>
  <si>
    <t xml:space="preserve">Redirect(Vote) + 'An error occurred'</t>
  </si>
  <si>
    <t xml:space="preserve">VotingControllerBasisPath_CastVote.P10_CastVote_GenericDbUpdateException_ShowsGenericError</t>
  </si>
  <si>
    <t xml:space="preserve">P11</t>
  </si>
  <si>
    <t xml:space="preserve">1 → 2(F) → 4 → 5(F) → 7 → 8(F) → 10 → 11(F) → 13(F) → 15 → 16(F) → 18 → 19(F) → 20(T) → 35 → End</t>
  </si>
  <si>
    <t xml:space="preserve">any other exception inside the try</t>
  </si>
  <si>
    <t xml:space="preserve">VotingControllerBasisPath_CastVote.P11_CastVote_UnexpectedException_ShowsGenericError</t>
  </si>
  <si>
    <t xml:space="preserve">P12</t>
  </si>
  <si>
    <t xml:space="preserve">1 → 2(F) → 4 → 5(F) → 7 → 8(F) → 10 → 11(F) → 13(F) → 15 → 16(F) → 18 → 19(T) → 25 → 26(T) → 27(T) → 28 → 29(F) → 31(T) → 33 → End</t>
  </si>
  <si>
    <t xml:space="preserve">DbUpdateException with PostgresException SqlState 23505</t>
  </si>
  <si>
    <t xml:space="preserve">VotingControllerNpgsqlTests.P12_CastVote_PostgresUniqueViolation_ShowsAlreadyVoted</t>
  </si>
  <si>
    <t xml:space="preserve">Needs Npgsql.PostgresException(...) constructor of the installed Npgsql version; delete that file if it does not compile.</t>
  </si>
  <si>
    <t xml:space="preserve">P13</t>
  </si>
  <si>
    <t xml:space="preserve">1 → 2(F) → 4 → 5(F) → 7 → 8(F) → 10 → 11(F) → 13(F) → 15 → 16(F) → 18 → 19(T) → 25 → 26(T) → 27(F) → 29(F) → 31(F) → 32(F) → 34 → End</t>
  </si>
  <si>
    <t xml:space="preserve">DbUpdateException with PostgresException SqlState 40001 (serialization failure)</t>
  </si>
  <si>
    <t xml:space="preserve">Redirect(Vote) + 'An error occurred'  (no retry, defect DV-10)</t>
  </si>
  <si>
    <t xml:space="preserve">VotingControllerNpgsqlTests.P13_CastVote_PostgresSerializationFailure_ShowsGenericError</t>
  </si>
  <si>
    <t xml:space="preserve">Feasible combination outside the basis set: Postgres exception, SqlState &lt;&gt; 23505 but message contains 'unique constraint' -&gt; 'already cast'. No test.</t>
  </si>
  <si>
    <t xml:space="preserve">P14</t>
  </si>
  <si>
    <t xml:space="preserve">1 → 2(F) → 4 → 5(F) → 7 → 8(F) → 10 → 11(F) → 13(F) → 15 → 16(F) → 18 → 19(T) → 25 → 26(F) → 29(T) → 30 → 31(F) → 32(F) → 34 → End</t>
  </si>
  <si>
    <t xml:space="preserve">the Postgres check throws and the empty catch swallows it</t>
  </si>
  <si>
    <t xml:space="preserve">Falls through to the generic error</t>
  </si>
  <si>
    <t xml:space="preserve">`is` and string comparison cannot throw, so catch { } is unreachable (dead code).</t>
  </si>
  <si>
    <t xml:space="preserve">P15</t>
  </si>
  <si>
    <t xml:space="preserve">1 → 2(F) → 4 → 5(F) → 7 → 8(F) → 10 → 11(F) → 13(F) → 15 → 16(F) → 18 → 19(T) → 25 → 26(T) → 27(T) → 28 → 29(F) → 31(F) → 32(F) → 34 → End</t>
  </si>
  <si>
    <t xml:space="preserve">uniqueViolation was set to true but is later read as false</t>
  </si>
  <si>
    <t xml:space="preserve">Generic error</t>
  </si>
  <si>
    <t xml:space="preserve">Correlated decisions: node 28 sets uniqueViolation = true, so node 31 cannot then be false.</t>
  </si>
  <si>
    <t xml:space="preserve">Node legend: what each numbered node in the diagrams is</t>
  </si>
  <si>
    <t xml:space="preserve">Node</t>
  </si>
  <si>
    <t xml:space="preserve">Type</t>
  </si>
  <si>
    <t xml:space="preserve">Statement or decision</t>
  </si>
  <si>
    <t xml:space="preserve">Process</t>
  </si>
  <si>
    <t xml:space="preserve">27</t>
  </si>
  <si>
    <t xml:space="preserve">program = GetProgramWithCandidatesAsync(id)</t>
  </si>
  <si>
    <t xml:space="preserve">Decision</t>
  </si>
  <si>
    <t xml:space="preserve">28</t>
  </si>
  <si>
    <t xml:space="preserve">program == null?</t>
  </si>
  <si>
    <t xml:space="preserve">Return (error / rejected)</t>
  </si>
  <si>
    <t xml:space="preserve">return NotFound()</t>
  </si>
  <si>
    <t xml:space="preserve">30-34</t>
  </si>
  <si>
    <t xml:space="preserve">now = UtcNow; set ViewBag Start/End/NowUtc</t>
  </si>
  <si>
    <t xml:space="preserve">36</t>
  </si>
  <si>
    <t xml:space="preserve">!program.IsOpenAt(now)?</t>
  </si>
  <si>
    <t xml:space="preserve">38-39</t>
  </si>
  <si>
    <t xml:space="preserve">ViewBag.Message = 'not currently active'; return View('Closed', program)</t>
  </si>
  <si>
    <t xml:space="preserve">42</t>
  </si>
  <si>
    <t xml:space="preserve">program.EndTime &gt; now?  (ternary)</t>
  </si>
  <si>
    <t xml:space="preserve">RemainingTime = EndTime - now</t>
  </si>
  <si>
    <t xml:space="preserve">43-44</t>
  </si>
  <si>
    <t xml:space="preserve">ViewBag.Candidates (sorted by name); ViewBag.Program</t>
  </si>
  <si>
    <t xml:space="preserve">46</t>
  </si>
  <si>
    <t xml:space="preserve">User.Identity?.IsAuthenticated == true?</t>
  </si>
  <si>
    <t xml:space="preserve">48-50</t>
  </si>
  <si>
    <t xml:space="preserve">userId = NameIdentifier; IsRegisteredVoter = Voters.AnyAsync(...)</t>
  </si>
  <si>
    <t xml:space="preserve">54</t>
  </si>
  <si>
    <t xml:space="preserve">IsRegisteredVoter = false</t>
  </si>
  <si>
    <t xml:space="preserve">Return (normal)</t>
  </si>
  <si>
    <t xml:space="preserve">57</t>
  </si>
  <si>
    <t xml:space="preserve">return View(program)</t>
  </si>
  <si>
    <t xml:space="preserve">64</t>
  </si>
  <si>
    <t xml:space="preserve">65</t>
  </si>
  <si>
    <t xml:space="preserve">!program.IsPublished?  (|| operand)</t>
  </si>
  <si>
    <t xml:space="preserve">67-68</t>
  </si>
  <si>
    <t xml:space="preserve">results = GetResultsAsync(id); totalVotes = Sum(VoteCount)</t>
  </si>
  <si>
    <t xml:space="preserve">70-75</t>
  </si>
  <si>
    <t xml:space="preserve">set ViewBag Results/TotalVotes/Start/End/Now; BlockchainValid = IsChainValidForProgramAsync</t>
  </si>
  <si>
    <t xml:space="preserve">77</t>
  </si>
  <si>
    <t xml:space="preserve">return View('PublicResults', program)</t>
  </si>
  <si>
    <t xml:space="preserve">86</t>
  </si>
  <si>
    <t xml:space="preserve">string.IsNullOrWhiteSpace(q)?</t>
  </si>
  <si>
    <t xml:space="preserve">87</t>
  </si>
  <si>
    <t xml:space="preserve">return Json(empty array)</t>
  </si>
  <si>
    <t xml:space="preserve">89-90</t>
  </si>
  <si>
    <t xml:space="preserve">q = q.Trim(); now = UtcNow</t>
  </si>
  <si>
    <t xml:space="preserve">92-106</t>
  </si>
  <si>
    <t xml:space="preserve">programs = VotingPrograms.Where(published &amp; name contains q).OrderByDescending(IsActive)...Take(8).Select(...).ToListAsync()</t>
  </si>
  <si>
    <t xml:space="preserve">108</t>
  </si>
  <si>
    <t xml:space="preserve">return Json(programs)</t>
  </si>
  <si>
    <t xml:space="preserve">119</t>
  </si>
  <si>
    <t xml:space="preserve">userId = NameIdentifier claim</t>
  </si>
  <si>
    <t xml:space="preserve">120</t>
  </si>
  <si>
    <t xml:space="preserve">string.IsNullOrEmpty(userId)?</t>
  </si>
  <si>
    <t xml:space="preserve">return Unauthorized()</t>
  </si>
  <si>
    <t xml:space="preserve">122</t>
  </si>
  <si>
    <t xml:space="preserve">program = GetProgramWithCandidatesAsync(programId)</t>
  </si>
  <si>
    <t xml:space="preserve">123</t>
  </si>
  <si>
    <t xml:space="preserve">125</t>
  </si>
  <si>
    <t xml:space="preserve">now = UtcNow</t>
  </si>
  <si>
    <t xml:space="preserve">126</t>
  </si>
  <si>
    <t xml:space="preserve">!program.IsPublished?</t>
  </si>
  <si>
    <t xml:space="preserve">now &gt;= program.EndTime?  (|| operand)</t>
  </si>
  <si>
    <t xml:space="preserve">128-129</t>
  </si>
  <si>
    <t xml:space="preserve">TempData[Error] = 'Registration is closed'; Redirect(Vote)</t>
  </si>
  <si>
    <t xml:space="preserve">132-133</t>
  </si>
  <si>
    <t xml:space="preserve">exists = Voters.AnyAsync(ProgramId, UserId)</t>
  </si>
  <si>
    <t xml:space="preserve">135</t>
  </si>
  <si>
    <t xml:space="preserve">exists?</t>
  </si>
  <si>
    <t xml:space="preserve">137-138</t>
  </si>
  <si>
    <t xml:space="preserve">TempData[Error] = 'already registered'; Redirect(Vote)</t>
  </si>
  <si>
    <t xml:space="preserve">141-151</t>
  </si>
  <si>
    <t xml:space="preserve">user = Users.FindAsync(userId); voter = new Voter{ Name, Email, 'self' }</t>
  </si>
  <si>
    <t xml:space="preserve">155-156</t>
  </si>
  <si>
    <t xml:space="preserve">try: Voters.Add(voter); SaveChangesAsync()</t>
  </si>
  <si>
    <t xml:space="preserve">158</t>
  </si>
  <si>
    <t xml:space="preserve">DbUpdateException thrown?  (catch)</t>
  </si>
  <si>
    <t xml:space="preserve">160-161</t>
  </si>
  <si>
    <t xml:space="preserve">TempData[Error] = 'could not be completed'; Redirect(Vote)</t>
  </si>
  <si>
    <t xml:space="preserve">164-165</t>
  </si>
  <si>
    <t xml:space="preserve">TempData[Success] = 'registered'; Redirect(Vote)</t>
  </si>
  <si>
    <t xml:space="preserve">176</t>
  </si>
  <si>
    <t xml:space="preserve">177</t>
  </si>
  <si>
    <t xml:space="preserve">179</t>
  </si>
  <si>
    <t xml:space="preserve">180</t>
  </si>
  <si>
    <t xml:space="preserve">182</t>
  </si>
  <si>
    <t xml:space="preserve">183</t>
  </si>
  <si>
    <t xml:space="preserve">185-186</t>
  </si>
  <si>
    <t xml:space="preserve">TempData[Error] = 'no longer active'; Redirect(Vote)</t>
  </si>
  <si>
    <t xml:space="preserve">189-190</t>
  </si>
  <si>
    <t xml:space="preserve">voter = Voters.FirstOrDefaultAsync(ProgramId, UserId)</t>
  </si>
  <si>
    <t xml:space="preserve">192</t>
  </si>
  <si>
    <t xml:space="preserve">voter == null?</t>
  </si>
  <si>
    <t xml:space="preserve">194-195</t>
  </si>
  <si>
    <t xml:space="preserve">TempData[Error] = 'not registered'; Redirect(Vote)</t>
  </si>
  <si>
    <t xml:space="preserve">198</t>
  </si>
  <si>
    <t xml:space="preserve">voter.HasVoted?</t>
  </si>
  <si>
    <t xml:space="preserve">200-201</t>
  </si>
  <si>
    <t xml:space="preserve">TempData[Error] = 'already cast'; Redirect(Vote)</t>
  </si>
  <si>
    <t xml:space="preserve">204</t>
  </si>
  <si>
    <t xml:space="preserve">candidate = program.Candidates.FirstOrDefault(Id == candidateId)</t>
  </si>
  <si>
    <t xml:space="preserve">205</t>
  </si>
  <si>
    <t xml:space="preserve">candidate == null?</t>
  </si>
  <si>
    <t xml:space="preserve">207-208</t>
  </si>
  <si>
    <t xml:space="preserve">TempData[Error] = 'Invalid candidate'; Redirect(Vote)</t>
  </si>
  <si>
    <t xml:space="preserve">211-232</t>
  </si>
  <si>
    <t xml:space="preserve">try: BeginTransaction(Serializable); add Vote; HasVoted = true; SaveChangesAsync; CommitAsync</t>
  </si>
  <si>
    <t xml:space="preserve">250</t>
  </si>
  <si>
    <t xml:space="preserve">271</t>
  </si>
  <si>
    <t xml:space="preserve">other Exception thrown?  (catch)</t>
  </si>
  <si>
    <t xml:space="preserve">235</t>
  </si>
  <si>
    <t xml:space="preserve">queued = _voteBlockQueue.TryEnqueue(vote.Id)</t>
  </si>
  <si>
    <t xml:space="preserve">236</t>
  </si>
  <si>
    <t xml:space="preserve">!queued?</t>
  </si>
  <si>
    <t xml:space="preserve">238-241</t>
  </si>
  <si>
    <t xml:space="preserve">TempData[Warning] = 'block could not be queued'</t>
  </si>
  <si>
    <t xml:space="preserve">244-248</t>
  </si>
  <si>
    <t xml:space="preserve">TempData Success/ProgramName/ProgramId; Redirect(ThankYou)</t>
  </si>
  <si>
    <t xml:space="preserve">252-253</t>
  </si>
  <si>
    <t xml:space="preserve">inner = ex.InnerException; uniqueViolation = false</t>
  </si>
  <si>
    <t xml:space="preserve">256</t>
  </si>
  <si>
    <t xml:space="preserve">inner is PostgresException pgEx?</t>
  </si>
  <si>
    <t xml:space="preserve">pgEx.SqlState == '23505'?  (&amp;&amp; operand)</t>
  </si>
  <si>
    <t xml:space="preserve">257</t>
  </si>
  <si>
    <t xml:space="preserve">uniqueViolation = true</t>
  </si>
  <si>
    <t xml:space="preserve">259</t>
  </si>
  <si>
    <t xml:space="preserve">exception thrown in the check?  (empty catch {})</t>
  </si>
  <si>
    <t xml:space="preserve">swallow the exception (empty catch body)</t>
  </si>
  <si>
    <t xml:space="preserve">261</t>
  </si>
  <si>
    <t xml:space="preserve">uniqueViolation?</t>
  </si>
  <si>
    <t xml:space="preserve">262</t>
  </si>
  <si>
    <t xml:space="preserve">inner?.Message contains 'unique constraint'?  (|| operand)</t>
  </si>
  <si>
    <t xml:space="preserve">264-265</t>
  </si>
  <si>
    <t xml:space="preserve">268-269</t>
  </si>
  <si>
    <t xml:space="preserve">TempData[Error] = 'An error occurred'; Redirect(Vote)</t>
  </si>
  <si>
    <t xml:space="preserve">273-274</t>
  </si>
  <si>
    <t xml:space="preserve">catch(Exception): TempData[Error] = 'An error occurred'; Redirect(Vote)</t>
  </si>
  <si>
    <t xml:space="preserve">Diagram 1: control-flow graph (green T = condition true, red F = condition false)</t>
  </si>
  <si>
    <t xml:space="preserve">Diagram 2: control-flow graph (green T = condition true, red F = condition false)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</si>
</sst>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59</xdr:row>
      <xdr:rowOff>104400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10963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20</xdr:col>
      <xdr:colOff>66240</xdr:colOff>
      <xdr:row>167</xdr:row>
      <xdr:rowOff>161280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380880"/>
          <a:ext cx="12296520" cy="31593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">
        <v>16</v>
      </c>
      <c r="C5" s="4" t="s">
        <v>17</v>
      </c>
      <c r="D5" s="5" t="n">
        <v>4</v>
      </c>
      <c r="E5" s="4" t="n">
        <f aca="false">D5+1</f>
        <v>5</v>
      </c>
      <c r="F5" s="5" t="n">
        <v>18</v>
      </c>
      <c r="G5" s="5" t="n">
        <v>15</v>
      </c>
      <c r="H5" s="4" t="n">
        <f aca="false">F5-G5+2</f>
        <v>5</v>
      </c>
      <c r="I5" s="4" t="str">
        <f aca="false">IF(E5=H5,"OK","CHECK")</f>
        <v>OK</v>
      </c>
      <c r="J5" s="4" t="n">
        <f aca="false">COUNTIF('Diagram 1 Paths'!A:A,B5)</f>
        <v>5</v>
      </c>
      <c r="K5" s="4" t="n">
        <f aca="false">COUNTIFS('Diagram 1 Paths'!A:A,B5,'Diagram 1 Paths'!G:G,"Covered")</f>
        <v>4</v>
      </c>
      <c r="L5" s="4" t="n">
        <f aca="false">COUNTIFS('Diagram 1 Paths'!A:A,B5,'Diagram 1 Paths'!G:G,"No test")</f>
        <v>0</v>
      </c>
      <c r="M5" s="4" t="n">
        <f aca="false">COUNTIFS('Diagram 1 Paths'!A:A,B5,'Diagram 1 Paths'!G:G,"Infeasible")</f>
        <v>1</v>
      </c>
      <c r="N5" s="4" t="n">
        <f aca="false">COUNTIFS('Diagram 1 Paths'!A:A,B5,'Diagram 1 Paths'!H:H,"Fail")</f>
        <v>0</v>
      </c>
    </row>
    <row r="6" customFormat="false" ht="15" hidden="false" customHeight="false" outlineLevel="0" collapsed="false">
      <c r="A6" s="4" t="n">
        <v>1</v>
      </c>
      <c r="B6" s="4" t="s">
        <v>18</v>
      </c>
      <c r="C6" s="4" t="s">
        <v>19</v>
      </c>
      <c r="D6" s="5" t="n">
        <v>2</v>
      </c>
      <c r="E6" s="4" t="n">
        <f aca="false">D6+1</f>
        <v>3</v>
      </c>
      <c r="F6" s="5" t="n">
        <v>9</v>
      </c>
      <c r="G6" s="5" t="n">
        <v>8</v>
      </c>
      <c r="H6" s="4" t="n">
        <f aca="false">F6-G6+2</f>
        <v>3</v>
      </c>
      <c r="I6" s="4" t="str">
        <f aca="false">IF(E6=H6,"OK","CHECK")</f>
        <v>OK</v>
      </c>
      <c r="J6" s="4" t="n">
        <f aca="false">COUNTIF('Diagram 1 Paths'!A:A,B6)</f>
        <v>3</v>
      </c>
      <c r="K6" s="4" t="n">
        <f aca="false">COUNTIFS('Diagram 1 Paths'!A:A,B6,'Diagram 1 Paths'!G:G,"Covered")</f>
        <v>3</v>
      </c>
      <c r="L6" s="4" t="n">
        <f aca="false">COUNTIFS('Diagram 1 Paths'!A:A,B6,'Diagram 1 Paths'!G:G,"No test")</f>
        <v>0</v>
      </c>
      <c r="M6" s="4" t="n">
        <f aca="false">COUNTIFS('Diagram 1 Paths'!A:A,B6,'Diagram 1 Paths'!G:G,"Infeasible")</f>
        <v>0</v>
      </c>
      <c r="N6" s="4" t="n">
        <f aca="false">COUNTIFS('Diagram 1 Paths'!A:A,B6,'Diagram 1 Paths'!H:H,"Fail")</f>
        <v>0</v>
      </c>
    </row>
    <row r="7" customFormat="false" ht="15" hidden="false" customHeight="false" outlineLevel="0" collapsed="false">
      <c r="A7" s="4" t="n">
        <v>1</v>
      </c>
      <c r="B7" s="4" t="s">
        <v>20</v>
      </c>
      <c r="C7" s="4" t="s">
        <v>21</v>
      </c>
      <c r="D7" s="5" t="n">
        <v>1</v>
      </c>
      <c r="E7" s="4" t="n">
        <f aca="false">D7+1</f>
        <v>2</v>
      </c>
      <c r="F7" s="5" t="n">
        <v>6</v>
      </c>
      <c r="G7" s="5" t="n">
        <v>6</v>
      </c>
      <c r="H7" s="4" t="n">
        <f aca="false">F7-G7+2</f>
        <v>2</v>
      </c>
      <c r="I7" s="4" t="str">
        <f aca="false">IF(E7=H7,"OK","CHECK")</f>
        <v>OK</v>
      </c>
      <c r="J7" s="4" t="n">
        <f aca="false">COUNTIF('Diagram 1 Paths'!A:A,B7)</f>
        <v>2</v>
      </c>
      <c r="K7" s="4" t="n">
        <f aca="false">COUNTIFS('Diagram 1 Paths'!A:A,B7,'Diagram 1 Paths'!G:G,"Covered")</f>
        <v>2</v>
      </c>
      <c r="L7" s="4" t="n">
        <f aca="false">COUNTIFS('Diagram 1 Paths'!A:A,B7,'Diagram 1 Paths'!G:G,"No test")</f>
        <v>0</v>
      </c>
      <c r="M7" s="4" t="n">
        <f aca="false">COUNTIFS('Diagram 1 Paths'!A:A,B7,'Diagram 1 Paths'!G:G,"Infeasible")</f>
        <v>0</v>
      </c>
      <c r="N7" s="4" t="n">
        <f aca="false">COUNTIFS('Diagram 1 Paths'!A:A,B7,'Diagram 1 Paths'!H:H,"Fail")</f>
        <v>1</v>
      </c>
    </row>
    <row r="8" customFormat="false" ht="15" hidden="false" customHeight="false" outlineLevel="0" collapsed="false">
      <c r="A8" s="4" t="n">
        <v>1</v>
      </c>
      <c r="B8" s="4" t="s">
        <v>22</v>
      </c>
      <c r="C8" s="4" t="s">
        <v>23</v>
      </c>
      <c r="D8" s="5" t="n">
        <v>6</v>
      </c>
      <c r="E8" s="4" t="n">
        <f aca="false">D8+1</f>
        <v>7</v>
      </c>
      <c r="F8" s="5" t="n">
        <v>24</v>
      </c>
      <c r="G8" s="5" t="n">
        <v>19</v>
      </c>
      <c r="H8" s="4" t="n">
        <f aca="false">F8-G8+2</f>
        <v>7</v>
      </c>
      <c r="I8" s="4" t="str">
        <f aca="false">IF(E8=H8,"OK","CHECK")</f>
        <v>OK</v>
      </c>
      <c r="J8" s="4" t="n">
        <f aca="false">COUNTIF('Diagram 1 Paths'!A:A,B8)</f>
        <v>7</v>
      </c>
      <c r="K8" s="4" t="n">
        <f aca="false">COUNTIFS('Diagram 1 Paths'!A:A,B8,'Diagram 1 Paths'!G:G,"Covered")</f>
        <v>7</v>
      </c>
      <c r="L8" s="4" t="n">
        <f aca="false">COUNTIFS('Diagram 1 Paths'!A:A,B8,'Diagram 1 Paths'!G:G,"No test")</f>
        <v>0</v>
      </c>
      <c r="M8" s="4" t="n">
        <f aca="false">COUNTIFS('Diagram 1 Paths'!A:A,B8,'Diagram 1 Paths'!G:G,"Infeasible")</f>
        <v>0</v>
      </c>
      <c r="N8" s="4" t="n">
        <f aca="false">COUNTIFS('Diagram 1 Paths'!A:A,B8,'Diagram 1 Paths'!H:H,"Fail")</f>
        <v>0</v>
      </c>
    </row>
    <row r="9" customFormat="false" ht="15" hidden="false" customHeight="false" outlineLevel="0" collapsed="false">
      <c r="A9" s="4" t="n">
        <v>2</v>
      </c>
      <c r="B9" s="4" t="s">
        <v>24</v>
      </c>
      <c r="C9" s="4" t="s">
        <v>25</v>
      </c>
      <c r="D9" s="5" t="n">
        <v>14</v>
      </c>
      <c r="E9" s="4" t="n">
        <f aca="false">D9+1</f>
        <v>15</v>
      </c>
      <c r="F9" s="5" t="n">
        <v>49</v>
      </c>
      <c r="G9" s="5" t="n">
        <v>36</v>
      </c>
      <c r="H9" s="4" t="n">
        <f aca="false">F9-G9+2</f>
        <v>15</v>
      </c>
      <c r="I9" s="4" t="str">
        <f aca="false">IF(E9=H9,"OK","CHECK")</f>
        <v>OK</v>
      </c>
      <c r="J9" s="4" t="n">
        <f aca="false">COUNTIF('Diagram 2 Paths'!A:A,B9)</f>
        <v>15</v>
      </c>
      <c r="K9" s="4" t="n">
        <f aca="false">COUNTIFS('Diagram 2 Paths'!A:A,B9,'Diagram 2 Paths'!G:G,"Covered")</f>
        <v>13</v>
      </c>
      <c r="L9" s="4" t="n">
        <f aca="false">COUNTIFS('Diagram 2 Paths'!A:A,B9,'Diagram 2 Paths'!G:G,"No test")</f>
        <v>0</v>
      </c>
      <c r="M9" s="4" t="n">
        <f aca="false">COUNTIFS('Diagram 2 Paths'!A:A,B9,'Diagram 2 Paths'!G:G,"Infeasible")</f>
        <v>2</v>
      </c>
      <c r="N9" s="4" t="n">
        <f aca="false">COUNTIFS('Diagram 2 Paths'!A:A,B9,'Diagram 2 Paths'!H:H,"Fail")</f>
        <v>0</v>
      </c>
    </row>
    <row r="10" customFormat="false" ht="15" hidden="false" customHeight="false" outlineLevel="0" collapsed="false">
      <c r="A10" s="4"/>
      <c r="B10" s="6" t="s">
        <v>26</v>
      </c>
      <c r="C10" s="4"/>
      <c r="D10" s="6" t="n">
        <f aca="false">SUM(D5:D9)</f>
        <v>27</v>
      </c>
      <c r="E10" s="6" t="n">
        <f aca="false">SUM(E5:E9)</f>
        <v>32</v>
      </c>
      <c r="F10" s="6" t="n">
        <f aca="false">SUM(F5:F9)</f>
        <v>106</v>
      </c>
      <c r="G10" s="6" t="n">
        <f aca="false">SUM(G5:G9)</f>
        <v>84</v>
      </c>
      <c r="H10" s="6" t="n">
        <f aca="false">SUM(H5:H9)</f>
        <v>32</v>
      </c>
      <c r="I10" s="4"/>
      <c r="J10" s="6" t="n">
        <f aca="false">SUM(J5:J9)</f>
        <v>32</v>
      </c>
      <c r="K10" s="6" t="n">
        <f aca="false">SUM(K5:K9)</f>
        <v>29</v>
      </c>
      <c r="L10" s="6" t="n">
        <f aca="false">SUM(L5:L9)</f>
        <v>0</v>
      </c>
      <c r="M10" s="6" t="n">
        <f aca="false">SUM(M5:M9)</f>
        <v>3</v>
      </c>
      <c r="N10" s="6" t="n">
        <f aca="false">SUM(N5:N9)</f>
        <v>1</v>
      </c>
    </row>
    <row r="12" customFormat="false" ht="15" hidden="false" customHeight="false" outlineLevel="0" collapsed="false">
      <c r="A12" s="7" t="s">
        <v>27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7" t="s">
        <v>28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5" hidden="false" customHeight="false" outlineLevel="0" collapsed="false">
      <c r="A14" s="7" t="s">
        <v>29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5" hidden="false" customHeight="false" outlineLevel="0" collapsed="false">
      <c r="A15" s="7" t="s">
        <v>30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customFormat="false" ht="15" hidden="false" customHeight="false" outlineLevel="0" collapsed="false">
      <c r="A16" s="7" t="s">
        <v>31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</sheetData>
  <mergeCells count="5">
    <mergeCell ref="A12:N12"/>
    <mergeCell ref="A13:N13"/>
    <mergeCell ref="A14:N14"/>
    <mergeCell ref="A15:N15"/>
    <mergeCell ref="A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70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32</v>
      </c>
    </row>
    <row r="3" customFormat="false" ht="23.85" hidden="false" customHeight="false" outlineLevel="0" collapsed="false">
      <c r="A3" s="3" t="s">
        <v>3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</row>
    <row r="4" customFormat="false" ht="15" hidden="false" customHeight="false" outlineLevel="0" collapsed="false">
      <c r="A4" s="4" t="s">
        <v>16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12</v>
      </c>
      <c r="H4" s="4" t="s">
        <v>47</v>
      </c>
      <c r="I4" s="8" t="s">
        <v>48</v>
      </c>
      <c r="J4" s="4"/>
    </row>
    <row r="5" customFormat="false" ht="35.05" hidden="false" customHeight="false" outlineLevel="0" collapsed="false">
      <c r="A5" s="4" t="s">
        <v>16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12</v>
      </c>
      <c r="H5" s="4" t="s">
        <v>47</v>
      </c>
      <c r="I5" s="8" t="s">
        <v>48</v>
      </c>
      <c r="J5" s="4"/>
    </row>
    <row r="6" customFormat="false" ht="35.05" hidden="false" customHeight="false" outlineLevel="0" collapsed="false">
      <c r="A6" s="4" t="s">
        <v>16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12</v>
      </c>
      <c r="H6" s="4" t="s">
        <v>47</v>
      </c>
      <c r="I6" s="8" t="s">
        <v>48</v>
      </c>
      <c r="J6" s="4"/>
    </row>
    <row r="7" customFormat="false" ht="23.85" hidden="false" customHeight="false" outlineLevel="0" collapsed="false">
      <c r="A7" s="4" t="s">
        <v>16</v>
      </c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12</v>
      </c>
      <c r="H7" s="4" t="s">
        <v>47</v>
      </c>
      <c r="I7" s="8" t="s">
        <v>48</v>
      </c>
      <c r="J7" s="4"/>
    </row>
    <row r="8" customFormat="false" ht="23.85" hidden="false" customHeight="false" outlineLevel="0" collapsed="false">
      <c r="A8" s="4" t="s">
        <v>16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14</v>
      </c>
      <c r="H8" s="4" t="s">
        <v>69</v>
      </c>
      <c r="I8" s="8" t="s">
        <v>69</v>
      </c>
      <c r="J8" s="4" t="s">
        <v>70</v>
      </c>
    </row>
    <row r="9" customFormat="false" ht="35.05" hidden="false" customHeight="false" outlineLevel="0" collapsed="false">
      <c r="A9" s="4" t="s">
        <v>18</v>
      </c>
      <c r="B9" s="4" t="s">
        <v>42</v>
      </c>
      <c r="C9" s="4" t="s">
        <v>71</v>
      </c>
      <c r="D9" s="4" t="s">
        <v>44</v>
      </c>
      <c r="E9" s="4" t="s">
        <v>72</v>
      </c>
      <c r="F9" s="4" t="s">
        <v>73</v>
      </c>
      <c r="G9" s="4" t="s">
        <v>12</v>
      </c>
      <c r="H9" s="4" t="s">
        <v>47</v>
      </c>
      <c r="I9" s="8" t="s">
        <v>48</v>
      </c>
      <c r="J9" s="4"/>
    </row>
    <row r="10" customFormat="false" ht="23.85" hidden="false" customHeight="false" outlineLevel="0" collapsed="false">
      <c r="A10" s="4" t="s">
        <v>18</v>
      </c>
      <c r="B10" s="4" t="s">
        <v>49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12</v>
      </c>
      <c r="H10" s="4" t="s">
        <v>47</v>
      </c>
      <c r="I10" s="8" t="s">
        <v>48</v>
      </c>
      <c r="J10" s="4"/>
    </row>
    <row r="11" customFormat="false" ht="35.05" hidden="false" customHeight="false" outlineLevel="0" collapsed="false">
      <c r="A11" s="4" t="s">
        <v>18</v>
      </c>
      <c r="B11" s="4" t="s">
        <v>54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12</v>
      </c>
      <c r="H11" s="4" t="s">
        <v>47</v>
      </c>
      <c r="I11" s="8" t="s">
        <v>48</v>
      </c>
      <c r="J11" s="4"/>
    </row>
    <row r="12" customFormat="false" ht="35.05" hidden="false" customHeight="false" outlineLevel="0" collapsed="false">
      <c r="A12" s="4" t="s">
        <v>20</v>
      </c>
      <c r="B12" s="4" t="s">
        <v>42</v>
      </c>
      <c r="C12" s="4" t="s">
        <v>82</v>
      </c>
      <c r="D12" s="4" t="s">
        <v>83</v>
      </c>
      <c r="E12" s="4" t="s">
        <v>84</v>
      </c>
      <c r="F12" s="4" t="s">
        <v>85</v>
      </c>
      <c r="G12" s="4" t="s">
        <v>12</v>
      </c>
      <c r="H12" s="4" t="s">
        <v>47</v>
      </c>
      <c r="I12" s="8" t="s">
        <v>48</v>
      </c>
      <c r="J12" s="4"/>
    </row>
    <row r="13" customFormat="false" ht="35.05" hidden="false" customHeight="false" outlineLevel="0" collapsed="false">
      <c r="A13" s="4" t="s">
        <v>20</v>
      </c>
      <c r="B13" s="4" t="s">
        <v>49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12</v>
      </c>
      <c r="H13" s="4" t="s">
        <v>90</v>
      </c>
      <c r="I13" s="8" t="s">
        <v>48</v>
      </c>
      <c r="J13" s="4" t="s">
        <v>91</v>
      </c>
    </row>
    <row r="14" customFormat="false" ht="23.85" hidden="false" customHeight="false" outlineLevel="0" collapsed="false">
      <c r="A14" s="4" t="s">
        <v>22</v>
      </c>
      <c r="B14" s="4" t="s">
        <v>42</v>
      </c>
      <c r="C14" s="4" t="s">
        <v>43</v>
      </c>
      <c r="D14" s="4" t="s">
        <v>92</v>
      </c>
      <c r="E14" s="4" t="s">
        <v>93</v>
      </c>
      <c r="F14" s="4" t="s">
        <v>94</v>
      </c>
      <c r="G14" s="4" t="s">
        <v>12</v>
      </c>
      <c r="H14" s="4" t="s">
        <v>47</v>
      </c>
      <c r="I14" s="8" t="s">
        <v>48</v>
      </c>
      <c r="J14" s="4"/>
    </row>
    <row r="15" customFormat="false" ht="15" hidden="false" customHeight="false" outlineLevel="0" collapsed="false">
      <c r="A15" s="4" t="s">
        <v>22</v>
      </c>
      <c r="B15" s="4" t="s">
        <v>49</v>
      </c>
      <c r="C15" s="4" t="s">
        <v>50</v>
      </c>
      <c r="D15" s="4" t="s">
        <v>44</v>
      </c>
      <c r="E15" s="4" t="s">
        <v>72</v>
      </c>
      <c r="F15" s="4" t="s">
        <v>95</v>
      </c>
      <c r="G15" s="4" t="s">
        <v>12</v>
      </c>
      <c r="H15" s="4" t="s">
        <v>47</v>
      </c>
      <c r="I15" s="8" t="s">
        <v>48</v>
      </c>
      <c r="J15" s="4"/>
    </row>
    <row r="16" customFormat="false" ht="23.85" hidden="false" customHeight="false" outlineLevel="0" collapsed="false">
      <c r="A16" s="4" t="s">
        <v>22</v>
      </c>
      <c r="B16" s="4" t="s">
        <v>54</v>
      </c>
      <c r="C16" s="4" t="s">
        <v>96</v>
      </c>
      <c r="D16" s="4" t="s">
        <v>97</v>
      </c>
      <c r="E16" s="4" t="s">
        <v>98</v>
      </c>
      <c r="F16" s="4" t="s">
        <v>99</v>
      </c>
      <c r="G16" s="4" t="s">
        <v>12</v>
      </c>
      <c r="H16" s="4" t="s">
        <v>47</v>
      </c>
      <c r="I16" s="8" t="s">
        <v>48</v>
      </c>
      <c r="J16" s="4"/>
    </row>
    <row r="17" customFormat="false" ht="23.85" hidden="false" customHeight="false" outlineLevel="0" collapsed="false">
      <c r="A17" s="4" t="s">
        <v>22</v>
      </c>
      <c r="B17" s="4" t="s">
        <v>59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12</v>
      </c>
      <c r="H17" s="4" t="s">
        <v>47</v>
      </c>
      <c r="I17" s="8" t="s">
        <v>48</v>
      </c>
      <c r="J17" s="4"/>
    </row>
    <row r="18" customFormat="false" ht="35.05" hidden="false" customHeight="false" outlineLevel="0" collapsed="false">
      <c r="A18" s="4" t="s">
        <v>22</v>
      </c>
      <c r="B18" s="4" t="s">
        <v>64</v>
      </c>
      <c r="C18" s="4" t="s">
        <v>104</v>
      </c>
      <c r="D18" s="4" t="s">
        <v>105</v>
      </c>
      <c r="E18" s="4" t="s">
        <v>106</v>
      </c>
      <c r="F18" s="4" t="s">
        <v>107</v>
      </c>
      <c r="G18" s="4" t="s">
        <v>12</v>
      </c>
      <c r="H18" s="4" t="s">
        <v>47</v>
      </c>
      <c r="I18" s="8" t="s">
        <v>48</v>
      </c>
      <c r="J18" s="4"/>
    </row>
    <row r="19" customFormat="false" ht="46.25" hidden="false" customHeight="false" outlineLevel="0" collapsed="false">
      <c r="A19" s="4" t="s">
        <v>22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112</v>
      </c>
      <c r="G19" s="4" t="s">
        <v>12</v>
      </c>
      <c r="H19" s="4" t="s">
        <v>47</v>
      </c>
      <c r="I19" s="8" t="s">
        <v>48</v>
      </c>
      <c r="J19" s="4"/>
    </row>
    <row r="20" customFormat="false" ht="23.85" hidden="false" customHeight="false" outlineLevel="0" collapsed="false">
      <c r="A20" s="4" t="s">
        <v>22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117</v>
      </c>
      <c r="G20" s="4" t="s">
        <v>12</v>
      </c>
      <c r="H20" s="4" t="s">
        <v>47</v>
      </c>
      <c r="I20" s="8" t="s">
        <v>48</v>
      </c>
      <c r="J20" s="4"/>
    </row>
  </sheetData>
  <conditionalFormatting sqref="H4:H20">
    <cfRule type="cellIs" priority="2" operator="equal" aboveAverage="0" equalAverage="0" bottom="0" percent="0" rank="0" text="" dxfId="0">
      <formula>"Fail"</formula>
    </cfRule>
  </conditionalFormatting>
  <conditionalFormatting sqref="G4:G20">
    <cfRule type="cellIs" priority="3" operator="equal" aboveAverage="0" equalAverage="0" bottom="0" percent="0" rank="0" text="" dxfId="1">
      <formula>"No test"</formula>
    </cfRule>
  </conditionalFormatting>
  <dataValidations count="1">
    <dataValidation allowBlank="false" errorStyle="stop" operator="between" showDropDown="false" showErrorMessage="false" showInputMessage="false" sqref="I4:I2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58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70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118</v>
      </c>
    </row>
    <row r="3" customFormat="false" ht="23.85" hidden="false" customHeight="false" outlineLevel="0" collapsed="false">
      <c r="A3" s="3" t="s">
        <v>3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</row>
    <row r="4" customFormat="false" ht="35.05" hidden="false" customHeight="false" outlineLevel="0" collapsed="false">
      <c r="A4" s="4" t="s">
        <v>24</v>
      </c>
      <c r="B4" s="4" t="s">
        <v>42</v>
      </c>
      <c r="C4" s="4" t="s">
        <v>43</v>
      </c>
      <c r="D4" s="4" t="s">
        <v>92</v>
      </c>
      <c r="E4" s="4" t="s">
        <v>93</v>
      </c>
      <c r="F4" s="4" t="s">
        <v>119</v>
      </c>
      <c r="G4" s="4" t="s">
        <v>12</v>
      </c>
      <c r="H4" s="4" t="s">
        <v>47</v>
      </c>
      <c r="I4" s="8" t="s">
        <v>48</v>
      </c>
      <c r="J4" s="4"/>
    </row>
    <row r="5" customFormat="false" ht="23.85" hidden="false" customHeight="false" outlineLevel="0" collapsed="false">
      <c r="A5" s="4" t="s">
        <v>24</v>
      </c>
      <c r="B5" s="4" t="s">
        <v>49</v>
      </c>
      <c r="C5" s="4" t="s">
        <v>50</v>
      </c>
      <c r="D5" s="4" t="s">
        <v>44</v>
      </c>
      <c r="E5" s="4" t="s">
        <v>72</v>
      </c>
      <c r="F5" s="4" t="s">
        <v>120</v>
      </c>
      <c r="G5" s="4" t="s">
        <v>12</v>
      </c>
      <c r="H5" s="4" t="s">
        <v>47</v>
      </c>
      <c r="I5" s="8" t="s">
        <v>48</v>
      </c>
      <c r="J5" s="4"/>
    </row>
    <row r="6" customFormat="false" ht="23.85" hidden="false" customHeight="false" outlineLevel="0" collapsed="false">
      <c r="A6" s="4" t="s">
        <v>24</v>
      </c>
      <c r="B6" s="4" t="s">
        <v>54</v>
      </c>
      <c r="C6" s="4" t="s">
        <v>121</v>
      </c>
      <c r="D6" s="4" t="s">
        <v>122</v>
      </c>
      <c r="E6" s="4" t="s">
        <v>123</v>
      </c>
      <c r="F6" s="4" t="s">
        <v>124</v>
      </c>
      <c r="G6" s="4" t="s">
        <v>12</v>
      </c>
      <c r="H6" s="4" t="s">
        <v>47</v>
      </c>
      <c r="I6" s="8" t="s">
        <v>48</v>
      </c>
      <c r="J6" s="4"/>
    </row>
    <row r="7" customFormat="false" ht="23.85" hidden="false" customHeight="false" outlineLevel="0" collapsed="false">
      <c r="A7" s="4" t="s">
        <v>24</v>
      </c>
      <c r="B7" s="4" t="s">
        <v>59</v>
      </c>
      <c r="C7" s="4" t="s">
        <v>125</v>
      </c>
      <c r="D7" s="4" t="s">
        <v>126</v>
      </c>
      <c r="E7" s="4" t="s">
        <v>127</v>
      </c>
      <c r="F7" s="4" t="s">
        <v>128</v>
      </c>
      <c r="G7" s="4" t="s">
        <v>12</v>
      </c>
      <c r="H7" s="4" t="s">
        <v>47</v>
      </c>
      <c r="I7" s="8" t="s">
        <v>48</v>
      </c>
      <c r="J7" s="4"/>
    </row>
    <row r="8" customFormat="false" ht="23.85" hidden="false" customHeight="false" outlineLevel="0" collapsed="false">
      <c r="A8" s="4" t="s">
        <v>24</v>
      </c>
      <c r="B8" s="4" t="s">
        <v>64</v>
      </c>
      <c r="C8" s="4" t="s">
        <v>129</v>
      </c>
      <c r="D8" s="4" t="s">
        <v>130</v>
      </c>
      <c r="E8" s="4" t="s">
        <v>131</v>
      </c>
      <c r="F8" s="4" t="s">
        <v>132</v>
      </c>
      <c r="G8" s="4" t="s">
        <v>12</v>
      </c>
      <c r="H8" s="4" t="s">
        <v>47</v>
      </c>
      <c r="I8" s="8" t="s">
        <v>48</v>
      </c>
      <c r="J8" s="4"/>
    </row>
    <row r="9" customFormat="false" ht="23.85" hidden="false" customHeight="false" outlineLevel="0" collapsed="false">
      <c r="A9" s="4" t="s">
        <v>24</v>
      </c>
      <c r="B9" s="4" t="s">
        <v>108</v>
      </c>
      <c r="C9" s="4" t="s">
        <v>133</v>
      </c>
      <c r="D9" s="4" t="s">
        <v>134</v>
      </c>
      <c r="E9" s="4" t="s">
        <v>135</v>
      </c>
      <c r="F9" s="4" t="s">
        <v>136</v>
      </c>
      <c r="G9" s="4" t="s">
        <v>12</v>
      </c>
      <c r="H9" s="4" t="s">
        <v>47</v>
      </c>
      <c r="I9" s="8" t="s">
        <v>48</v>
      </c>
      <c r="J9" s="4"/>
    </row>
    <row r="10" customFormat="false" ht="35.05" hidden="false" customHeight="false" outlineLevel="0" collapsed="false">
      <c r="A10" s="4" t="s">
        <v>24</v>
      </c>
      <c r="B10" s="4" t="s">
        <v>113</v>
      </c>
      <c r="C10" s="4" t="s">
        <v>137</v>
      </c>
      <c r="D10" s="4" t="s">
        <v>138</v>
      </c>
      <c r="E10" s="4" t="s">
        <v>139</v>
      </c>
      <c r="F10" s="4" t="s">
        <v>140</v>
      </c>
      <c r="G10" s="4" t="s">
        <v>12</v>
      </c>
      <c r="H10" s="4" t="s">
        <v>47</v>
      </c>
      <c r="I10" s="8" t="s">
        <v>48</v>
      </c>
      <c r="J10" s="4"/>
    </row>
    <row r="11" customFormat="false" ht="35.05" hidden="false" customHeight="false" outlineLevel="0" collapsed="false">
      <c r="A11" s="4" t="s">
        <v>24</v>
      </c>
      <c r="B11" s="4" t="s">
        <v>141</v>
      </c>
      <c r="C11" s="4" t="s">
        <v>142</v>
      </c>
      <c r="D11" s="4" t="s">
        <v>143</v>
      </c>
      <c r="E11" s="4" t="s">
        <v>144</v>
      </c>
      <c r="F11" s="4" t="s">
        <v>145</v>
      </c>
      <c r="G11" s="4" t="s">
        <v>12</v>
      </c>
      <c r="H11" s="4" t="s">
        <v>47</v>
      </c>
      <c r="I11" s="8" t="s">
        <v>48</v>
      </c>
      <c r="J11" s="4"/>
    </row>
    <row r="12" customFormat="false" ht="35.05" hidden="false" customHeight="false" outlineLevel="0" collapsed="false">
      <c r="A12" s="4" t="s">
        <v>24</v>
      </c>
      <c r="B12" s="4" t="s">
        <v>146</v>
      </c>
      <c r="C12" s="4" t="s">
        <v>147</v>
      </c>
      <c r="D12" s="4" t="s">
        <v>148</v>
      </c>
      <c r="E12" s="4" t="s">
        <v>131</v>
      </c>
      <c r="F12" s="4" t="s">
        <v>149</v>
      </c>
      <c r="G12" s="4" t="s">
        <v>12</v>
      </c>
      <c r="H12" s="4" t="s">
        <v>47</v>
      </c>
      <c r="I12" s="8" t="s">
        <v>48</v>
      </c>
      <c r="J12" s="4"/>
    </row>
    <row r="13" customFormat="false" ht="35.05" hidden="false" customHeight="false" outlineLevel="0" collapsed="false">
      <c r="A13" s="4" t="s">
        <v>24</v>
      </c>
      <c r="B13" s="4" t="s">
        <v>150</v>
      </c>
      <c r="C13" s="4" t="s">
        <v>151</v>
      </c>
      <c r="D13" s="4" t="s">
        <v>152</v>
      </c>
      <c r="E13" s="4" t="s">
        <v>153</v>
      </c>
      <c r="F13" s="4" t="s">
        <v>154</v>
      </c>
      <c r="G13" s="4" t="s">
        <v>12</v>
      </c>
      <c r="H13" s="4" t="s">
        <v>47</v>
      </c>
      <c r="I13" s="8" t="s">
        <v>48</v>
      </c>
      <c r="J13" s="4"/>
    </row>
    <row r="14" customFormat="false" ht="23.85" hidden="false" customHeight="false" outlineLevel="0" collapsed="false">
      <c r="A14" s="4" t="s">
        <v>24</v>
      </c>
      <c r="B14" s="4" t="s">
        <v>155</v>
      </c>
      <c r="C14" s="4" t="s">
        <v>156</v>
      </c>
      <c r="D14" s="4" t="s">
        <v>157</v>
      </c>
      <c r="E14" s="4" t="s">
        <v>153</v>
      </c>
      <c r="F14" s="4" t="s">
        <v>158</v>
      </c>
      <c r="G14" s="4" t="s">
        <v>12</v>
      </c>
      <c r="H14" s="4" t="s">
        <v>47</v>
      </c>
      <c r="I14" s="8" t="s">
        <v>48</v>
      </c>
      <c r="J14" s="4"/>
    </row>
    <row r="15" customFormat="false" ht="35.05" hidden="false" customHeight="false" outlineLevel="0" collapsed="false">
      <c r="A15" s="4" t="s">
        <v>24</v>
      </c>
      <c r="B15" s="4" t="s">
        <v>159</v>
      </c>
      <c r="C15" s="4" t="s">
        <v>160</v>
      </c>
      <c r="D15" s="4" t="s">
        <v>161</v>
      </c>
      <c r="E15" s="4" t="s">
        <v>131</v>
      </c>
      <c r="F15" s="4" t="s">
        <v>162</v>
      </c>
      <c r="G15" s="4" t="s">
        <v>12</v>
      </c>
      <c r="H15" s="4" t="s">
        <v>47</v>
      </c>
      <c r="I15" s="8" t="s">
        <v>48</v>
      </c>
      <c r="J15" s="4" t="s">
        <v>163</v>
      </c>
    </row>
    <row r="16" customFormat="false" ht="35.05" hidden="false" customHeight="false" outlineLevel="0" collapsed="false">
      <c r="A16" s="4" t="s">
        <v>24</v>
      </c>
      <c r="B16" s="4" t="s">
        <v>164</v>
      </c>
      <c r="C16" s="4" t="s">
        <v>165</v>
      </c>
      <c r="D16" s="4" t="s">
        <v>166</v>
      </c>
      <c r="E16" s="4" t="s">
        <v>167</v>
      </c>
      <c r="F16" s="4" t="s">
        <v>168</v>
      </c>
      <c r="G16" s="4" t="s">
        <v>12</v>
      </c>
      <c r="H16" s="4" t="s">
        <v>47</v>
      </c>
      <c r="I16" s="8" t="s">
        <v>48</v>
      </c>
      <c r="J16" s="4" t="s">
        <v>169</v>
      </c>
    </row>
    <row r="17" customFormat="false" ht="35.05" hidden="false" customHeight="false" outlineLevel="0" collapsed="false">
      <c r="A17" s="4" t="s">
        <v>24</v>
      </c>
      <c r="B17" s="4" t="s">
        <v>170</v>
      </c>
      <c r="C17" s="4" t="s">
        <v>171</v>
      </c>
      <c r="D17" s="4" t="s">
        <v>172</v>
      </c>
      <c r="E17" s="4" t="s">
        <v>173</v>
      </c>
      <c r="F17" s="4" t="s">
        <v>68</v>
      </c>
      <c r="G17" s="4" t="s">
        <v>14</v>
      </c>
      <c r="H17" s="4" t="s">
        <v>69</v>
      </c>
      <c r="I17" s="8" t="s">
        <v>69</v>
      </c>
      <c r="J17" s="4" t="s">
        <v>174</v>
      </c>
    </row>
    <row r="18" customFormat="false" ht="35.05" hidden="false" customHeight="false" outlineLevel="0" collapsed="false">
      <c r="A18" s="4" t="s">
        <v>24</v>
      </c>
      <c r="B18" s="4" t="s">
        <v>175</v>
      </c>
      <c r="C18" s="4" t="s">
        <v>176</v>
      </c>
      <c r="D18" s="4" t="s">
        <v>177</v>
      </c>
      <c r="E18" s="4" t="s">
        <v>178</v>
      </c>
      <c r="F18" s="4" t="s">
        <v>68</v>
      </c>
      <c r="G18" s="4" t="s">
        <v>14</v>
      </c>
      <c r="H18" s="4" t="s">
        <v>69</v>
      </c>
      <c r="I18" s="8" t="s">
        <v>69</v>
      </c>
      <c r="J18" s="4" t="s">
        <v>179</v>
      </c>
    </row>
  </sheetData>
  <conditionalFormatting sqref="H4:H18">
    <cfRule type="cellIs" priority="2" operator="equal" aboveAverage="0" equalAverage="0" bottom="0" percent="0" rank="0" text="" dxfId="0">
      <formula>"Fail"</formula>
    </cfRule>
  </conditionalFormatting>
  <conditionalFormatting sqref="G4:G18">
    <cfRule type="cellIs" priority="3" operator="equal" aboveAverage="0" equalAverage="0" bottom="0" percent="0" rank="0" text="" dxfId="1">
      <formula>"No test"</formula>
    </cfRule>
  </conditionalFormatting>
  <dataValidations count="1">
    <dataValidation allowBlank="false" errorStyle="stop" operator="between" showDropDown="false" showErrorMessage="false" showInputMessage="false" sqref="I4:I18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180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181</v>
      </c>
      <c r="D3" s="3" t="s">
        <v>182</v>
      </c>
      <c r="E3" s="3" t="s">
        <v>4</v>
      </c>
      <c r="F3" s="3" t="s">
        <v>183</v>
      </c>
    </row>
    <row r="4" customFormat="false" ht="15" hidden="false" customHeight="false" outlineLevel="0" collapsed="false">
      <c r="A4" s="4" t="n">
        <v>1</v>
      </c>
      <c r="B4" s="4" t="s">
        <v>16</v>
      </c>
      <c r="C4" s="4" t="n">
        <v>1</v>
      </c>
      <c r="D4" s="4" t="s">
        <v>184</v>
      </c>
      <c r="E4" s="4" t="s">
        <v>185</v>
      </c>
      <c r="F4" s="4" t="s">
        <v>186</v>
      </c>
    </row>
    <row r="5" customFormat="false" ht="15" hidden="false" customHeight="false" outlineLevel="0" collapsed="false">
      <c r="A5" s="4" t="n">
        <v>1</v>
      </c>
      <c r="B5" s="4" t="s">
        <v>16</v>
      </c>
      <c r="C5" s="4" t="n">
        <v>2</v>
      </c>
      <c r="D5" s="4" t="s">
        <v>187</v>
      </c>
      <c r="E5" s="4" t="s">
        <v>188</v>
      </c>
      <c r="F5" s="4" t="s">
        <v>189</v>
      </c>
    </row>
    <row r="6" customFormat="false" ht="15" hidden="false" customHeight="false" outlineLevel="0" collapsed="false">
      <c r="A6" s="4" t="n">
        <v>1</v>
      </c>
      <c r="B6" s="4" t="s">
        <v>16</v>
      </c>
      <c r="C6" s="4" t="n">
        <v>3</v>
      </c>
      <c r="D6" s="4" t="s">
        <v>190</v>
      </c>
      <c r="E6" s="4" t="s">
        <v>188</v>
      </c>
      <c r="F6" s="4" t="s">
        <v>191</v>
      </c>
    </row>
    <row r="7" customFormat="false" ht="15" hidden="false" customHeight="false" outlineLevel="0" collapsed="false">
      <c r="A7" s="4" t="n">
        <v>1</v>
      </c>
      <c r="B7" s="4" t="s">
        <v>16</v>
      </c>
      <c r="C7" s="4" t="n">
        <v>4</v>
      </c>
      <c r="D7" s="4" t="s">
        <v>184</v>
      </c>
      <c r="E7" s="4" t="s">
        <v>192</v>
      </c>
      <c r="F7" s="4" t="s">
        <v>193</v>
      </c>
    </row>
    <row r="8" customFormat="false" ht="15" hidden="false" customHeight="false" outlineLevel="0" collapsed="false">
      <c r="A8" s="4" t="n">
        <v>1</v>
      </c>
      <c r="B8" s="4" t="s">
        <v>16</v>
      </c>
      <c r="C8" s="4" t="n">
        <v>5</v>
      </c>
      <c r="D8" s="4" t="s">
        <v>187</v>
      </c>
      <c r="E8" s="4" t="s">
        <v>194</v>
      </c>
      <c r="F8" s="4" t="s">
        <v>195</v>
      </c>
    </row>
    <row r="9" customFormat="false" ht="15" hidden="false" customHeight="false" outlineLevel="0" collapsed="false">
      <c r="A9" s="4" t="n">
        <v>1</v>
      </c>
      <c r="B9" s="4" t="s">
        <v>16</v>
      </c>
      <c r="C9" s="4" t="n">
        <v>6</v>
      </c>
      <c r="D9" s="4" t="s">
        <v>190</v>
      </c>
      <c r="E9" s="4" t="s">
        <v>196</v>
      </c>
      <c r="F9" s="4" t="s">
        <v>197</v>
      </c>
    </row>
    <row r="10" customFormat="false" ht="15" hidden="false" customHeight="false" outlineLevel="0" collapsed="false">
      <c r="A10" s="4" t="n">
        <v>1</v>
      </c>
      <c r="B10" s="4" t="s">
        <v>16</v>
      </c>
      <c r="C10" s="4" t="n">
        <v>7</v>
      </c>
      <c r="D10" s="4" t="s">
        <v>187</v>
      </c>
      <c r="E10" s="4" t="s">
        <v>198</v>
      </c>
      <c r="F10" s="4" t="s">
        <v>199</v>
      </c>
    </row>
    <row r="11" customFormat="false" ht="15" hidden="false" customHeight="false" outlineLevel="0" collapsed="false">
      <c r="A11" s="4" t="n">
        <v>1</v>
      </c>
      <c r="B11" s="4" t="s">
        <v>16</v>
      </c>
      <c r="C11" s="4" t="n">
        <v>8</v>
      </c>
      <c r="D11" s="4" t="s">
        <v>184</v>
      </c>
      <c r="E11" s="4" t="s">
        <v>198</v>
      </c>
      <c r="F11" s="4" t="s">
        <v>200</v>
      </c>
    </row>
    <row r="12" customFormat="false" ht="15" hidden="false" customHeight="false" outlineLevel="0" collapsed="false">
      <c r="A12" s="4" t="n">
        <v>1</v>
      </c>
      <c r="B12" s="4" t="s">
        <v>16</v>
      </c>
      <c r="C12" s="4" t="n">
        <v>9</v>
      </c>
      <c r="D12" s="4" t="s">
        <v>184</v>
      </c>
      <c r="E12" s="4" t="s">
        <v>198</v>
      </c>
      <c r="F12" s="4" t="s">
        <v>67</v>
      </c>
    </row>
    <row r="13" customFormat="false" ht="15" hidden="false" customHeight="false" outlineLevel="0" collapsed="false">
      <c r="A13" s="4" t="n">
        <v>1</v>
      </c>
      <c r="B13" s="4" t="s">
        <v>16</v>
      </c>
      <c r="C13" s="4" t="n">
        <v>10</v>
      </c>
      <c r="D13" s="4" t="s">
        <v>184</v>
      </c>
      <c r="E13" s="4" t="s">
        <v>201</v>
      </c>
      <c r="F13" s="4" t="s">
        <v>202</v>
      </c>
    </row>
    <row r="14" customFormat="false" ht="15" hidden="false" customHeight="false" outlineLevel="0" collapsed="false">
      <c r="A14" s="4" t="n">
        <v>1</v>
      </c>
      <c r="B14" s="4" t="s">
        <v>16</v>
      </c>
      <c r="C14" s="4" t="n">
        <v>11</v>
      </c>
      <c r="D14" s="4" t="s">
        <v>187</v>
      </c>
      <c r="E14" s="4" t="s">
        <v>203</v>
      </c>
      <c r="F14" s="4" t="s">
        <v>204</v>
      </c>
    </row>
    <row r="15" customFormat="false" ht="15" hidden="false" customHeight="false" outlineLevel="0" collapsed="false">
      <c r="A15" s="4" t="n">
        <v>1</v>
      </c>
      <c r="B15" s="4" t="s">
        <v>16</v>
      </c>
      <c r="C15" s="4" t="n">
        <v>12</v>
      </c>
      <c r="D15" s="4" t="s">
        <v>184</v>
      </c>
      <c r="E15" s="4" t="s">
        <v>205</v>
      </c>
      <c r="F15" s="4" t="s">
        <v>206</v>
      </c>
    </row>
    <row r="16" customFormat="false" ht="15" hidden="false" customHeight="false" outlineLevel="0" collapsed="false">
      <c r="A16" s="4" t="n">
        <v>1</v>
      </c>
      <c r="B16" s="4" t="s">
        <v>16</v>
      </c>
      <c r="C16" s="4" t="n">
        <v>13</v>
      </c>
      <c r="D16" s="4" t="s">
        <v>184</v>
      </c>
      <c r="E16" s="4" t="s">
        <v>207</v>
      </c>
      <c r="F16" s="4" t="s">
        <v>208</v>
      </c>
    </row>
    <row r="17" customFormat="false" ht="15" hidden="false" customHeight="false" outlineLevel="0" collapsed="false">
      <c r="A17" s="4" t="n">
        <v>1</v>
      </c>
      <c r="B17" s="4" t="s">
        <v>16</v>
      </c>
      <c r="C17" s="4" t="n">
        <v>14</v>
      </c>
      <c r="D17" s="4" t="s">
        <v>209</v>
      </c>
      <c r="E17" s="4" t="s">
        <v>210</v>
      </c>
      <c r="F17" s="4" t="s">
        <v>211</v>
      </c>
    </row>
    <row r="18" customFormat="false" ht="15" hidden="false" customHeight="false" outlineLevel="0" collapsed="false">
      <c r="A18" s="4" t="n">
        <v>1</v>
      </c>
      <c r="B18" s="4" t="s">
        <v>18</v>
      </c>
      <c r="C18" s="4" t="n">
        <v>1</v>
      </c>
      <c r="D18" s="4" t="s">
        <v>184</v>
      </c>
      <c r="E18" s="4" t="s">
        <v>212</v>
      </c>
      <c r="F18" s="4" t="s">
        <v>186</v>
      </c>
    </row>
    <row r="19" customFormat="false" ht="15" hidden="false" customHeight="false" outlineLevel="0" collapsed="false">
      <c r="A19" s="4" t="n">
        <v>1</v>
      </c>
      <c r="B19" s="4" t="s">
        <v>18</v>
      </c>
      <c r="C19" s="4" t="n">
        <v>2</v>
      </c>
      <c r="D19" s="4" t="s">
        <v>187</v>
      </c>
      <c r="E19" s="4" t="s">
        <v>213</v>
      </c>
      <c r="F19" s="4" t="s">
        <v>189</v>
      </c>
    </row>
    <row r="20" customFormat="false" ht="15" hidden="false" customHeight="false" outlineLevel="0" collapsed="false">
      <c r="A20" s="4" t="n">
        <v>1</v>
      </c>
      <c r="B20" s="4" t="s">
        <v>18</v>
      </c>
      <c r="C20" s="4" t="n">
        <v>3</v>
      </c>
      <c r="D20" s="4" t="s">
        <v>187</v>
      </c>
      <c r="E20" s="4" t="s">
        <v>213</v>
      </c>
      <c r="F20" s="4" t="s">
        <v>214</v>
      </c>
    </row>
    <row r="21" customFormat="false" ht="15" hidden="false" customHeight="false" outlineLevel="0" collapsed="false">
      <c r="A21" s="4" t="n">
        <v>1</v>
      </c>
      <c r="B21" s="4" t="s">
        <v>18</v>
      </c>
      <c r="C21" s="4" t="n">
        <v>4</v>
      </c>
      <c r="D21" s="4" t="s">
        <v>190</v>
      </c>
      <c r="E21" s="4" t="s">
        <v>213</v>
      </c>
      <c r="F21" s="4" t="s">
        <v>191</v>
      </c>
    </row>
    <row r="22" customFormat="false" ht="15" hidden="false" customHeight="false" outlineLevel="0" collapsed="false">
      <c r="A22" s="4" t="n">
        <v>1</v>
      </c>
      <c r="B22" s="4" t="s">
        <v>18</v>
      </c>
      <c r="C22" s="4" t="n">
        <v>5</v>
      </c>
      <c r="D22" s="4" t="s">
        <v>184</v>
      </c>
      <c r="E22" s="4" t="s">
        <v>215</v>
      </c>
      <c r="F22" s="4" t="s">
        <v>216</v>
      </c>
    </row>
    <row r="23" customFormat="false" ht="15" hidden="false" customHeight="false" outlineLevel="0" collapsed="false">
      <c r="A23" s="4" t="n">
        <v>1</v>
      </c>
      <c r="B23" s="4" t="s">
        <v>18</v>
      </c>
      <c r="C23" s="4" t="n">
        <v>6</v>
      </c>
      <c r="D23" s="4" t="s">
        <v>184</v>
      </c>
      <c r="E23" s="4" t="s">
        <v>217</v>
      </c>
      <c r="F23" s="4" t="s">
        <v>218</v>
      </c>
    </row>
    <row r="24" customFormat="false" ht="15" hidden="false" customHeight="false" outlineLevel="0" collapsed="false">
      <c r="A24" s="4" t="n">
        <v>1</v>
      </c>
      <c r="B24" s="4" t="s">
        <v>18</v>
      </c>
      <c r="C24" s="4" t="n">
        <v>7</v>
      </c>
      <c r="D24" s="4" t="s">
        <v>209</v>
      </c>
      <c r="E24" s="4" t="s">
        <v>219</v>
      </c>
      <c r="F24" s="4" t="s">
        <v>220</v>
      </c>
    </row>
    <row r="25" customFormat="false" ht="15" hidden="false" customHeight="false" outlineLevel="0" collapsed="false">
      <c r="A25" s="4" t="n">
        <v>1</v>
      </c>
      <c r="B25" s="4" t="s">
        <v>20</v>
      </c>
      <c r="C25" s="4" t="n">
        <v>1</v>
      </c>
      <c r="D25" s="4" t="s">
        <v>187</v>
      </c>
      <c r="E25" s="4" t="s">
        <v>221</v>
      </c>
      <c r="F25" s="4" t="s">
        <v>222</v>
      </c>
    </row>
    <row r="26" customFormat="false" ht="15" hidden="false" customHeight="false" outlineLevel="0" collapsed="false">
      <c r="A26" s="4" t="n">
        <v>1</v>
      </c>
      <c r="B26" s="4" t="s">
        <v>20</v>
      </c>
      <c r="C26" s="4" t="n">
        <v>2</v>
      </c>
      <c r="D26" s="4" t="s">
        <v>209</v>
      </c>
      <c r="E26" s="4" t="s">
        <v>223</v>
      </c>
      <c r="F26" s="4" t="s">
        <v>224</v>
      </c>
    </row>
    <row r="27" customFormat="false" ht="15" hidden="false" customHeight="false" outlineLevel="0" collapsed="false">
      <c r="A27" s="4" t="n">
        <v>1</v>
      </c>
      <c r="B27" s="4" t="s">
        <v>20</v>
      </c>
      <c r="C27" s="4" t="n">
        <v>3</v>
      </c>
      <c r="D27" s="4" t="s">
        <v>184</v>
      </c>
      <c r="E27" s="4" t="s">
        <v>225</v>
      </c>
      <c r="F27" s="4" t="s">
        <v>226</v>
      </c>
    </row>
    <row r="28" customFormat="false" ht="23.85" hidden="false" customHeight="false" outlineLevel="0" collapsed="false">
      <c r="A28" s="4" t="n">
        <v>1</v>
      </c>
      <c r="B28" s="4" t="s">
        <v>20</v>
      </c>
      <c r="C28" s="4" t="n">
        <v>4</v>
      </c>
      <c r="D28" s="4" t="s">
        <v>184</v>
      </c>
      <c r="E28" s="4" t="s">
        <v>227</v>
      </c>
      <c r="F28" s="4" t="s">
        <v>228</v>
      </c>
    </row>
    <row r="29" customFormat="false" ht="15" hidden="false" customHeight="false" outlineLevel="0" collapsed="false">
      <c r="A29" s="4" t="n">
        <v>1</v>
      </c>
      <c r="B29" s="4" t="s">
        <v>20</v>
      </c>
      <c r="C29" s="4" t="n">
        <v>5</v>
      </c>
      <c r="D29" s="4" t="s">
        <v>209</v>
      </c>
      <c r="E29" s="4" t="s">
        <v>229</v>
      </c>
      <c r="F29" s="4" t="s">
        <v>230</v>
      </c>
    </row>
    <row r="30" customFormat="false" ht="15" hidden="false" customHeight="false" outlineLevel="0" collapsed="false">
      <c r="A30" s="4" t="n">
        <v>1</v>
      </c>
      <c r="B30" s="4" t="s">
        <v>22</v>
      </c>
      <c r="C30" s="4" t="n">
        <v>1</v>
      </c>
      <c r="D30" s="4" t="s">
        <v>184</v>
      </c>
      <c r="E30" s="4" t="s">
        <v>231</v>
      </c>
      <c r="F30" s="4" t="s">
        <v>232</v>
      </c>
    </row>
    <row r="31" customFormat="false" ht="15" hidden="false" customHeight="false" outlineLevel="0" collapsed="false">
      <c r="A31" s="4" t="n">
        <v>1</v>
      </c>
      <c r="B31" s="4" t="s">
        <v>22</v>
      </c>
      <c r="C31" s="4" t="n">
        <v>2</v>
      </c>
      <c r="D31" s="4" t="s">
        <v>187</v>
      </c>
      <c r="E31" s="4" t="s">
        <v>233</v>
      </c>
      <c r="F31" s="4" t="s">
        <v>234</v>
      </c>
    </row>
    <row r="32" customFormat="false" ht="15" hidden="false" customHeight="false" outlineLevel="0" collapsed="false">
      <c r="A32" s="4" t="n">
        <v>1</v>
      </c>
      <c r="B32" s="4" t="s">
        <v>22</v>
      </c>
      <c r="C32" s="4" t="n">
        <v>3</v>
      </c>
      <c r="D32" s="4" t="s">
        <v>190</v>
      </c>
      <c r="E32" s="4" t="s">
        <v>233</v>
      </c>
      <c r="F32" s="4" t="s">
        <v>235</v>
      </c>
    </row>
    <row r="33" customFormat="false" ht="15" hidden="false" customHeight="false" outlineLevel="0" collapsed="false">
      <c r="A33" s="4" t="n">
        <v>1</v>
      </c>
      <c r="B33" s="4" t="s">
        <v>22</v>
      </c>
      <c r="C33" s="4" t="n">
        <v>4</v>
      </c>
      <c r="D33" s="4" t="s">
        <v>184</v>
      </c>
      <c r="E33" s="4" t="s">
        <v>236</v>
      </c>
      <c r="F33" s="4" t="s">
        <v>237</v>
      </c>
    </row>
    <row r="34" customFormat="false" ht="15" hidden="false" customHeight="false" outlineLevel="0" collapsed="false">
      <c r="A34" s="4" t="n">
        <v>1</v>
      </c>
      <c r="B34" s="4" t="s">
        <v>22</v>
      </c>
      <c r="C34" s="4" t="n">
        <v>5</v>
      </c>
      <c r="D34" s="4" t="s">
        <v>187</v>
      </c>
      <c r="E34" s="4" t="s">
        <v>238</v>
      </c>
      <c r="F34" s="4" t="s">
        <v>189</v>
      </c>
    </row>
    <row r="35" customFormat="false" ht="15" hidden="false" customHeight="false" outlineLevel="0" collapsed="false">
      <c r="A35" s="4" t="n">
        <v>1</v>
      </c>
      <c r="B35" s="4" t="s">
        <v>22</v>
      </c>
      <c r="C35" s="4" t="n">
        <v>6</v>
      </c>
      <c r="D35" s="4" t="s">
        <v>190</v>
      </c>
      <c r="E35" s="4" t="s">
        <v>238</v>
      </c>
      <c r="F35" s="4" t="s">
        <v>191</v>
      </c>
    </row>
    <row r="36" customFormat="false" ht="15" hidden="false" customHeight="false" outlineLevel="0" collapsed="false">
      <c r="A36" s="4" t="n">
        <v>1</v>
      </c>
      <c r="B36" s="4" t="s">
        <v>22</v>
      </c>
      <c r="C36" s="4" t="n">
        <v>7</v>
      </c>
      <c r="D36" s="4" t="s">
        <v>184</v>
      </c>
      <c r="E36" s="4" t="s">
        <v>239</v>
      </c>
      <c r="F36" s="4" t="s">
        <v>240</v>
      </c>
    </row>
    <row r="37" customFormat="false" ht="15" hidden="false" customHeight="false" outlineLevel="0" collapsed="false">
      <c r="A37" s="4" t="n">
        <v>1</v>
      </c>
      <c r="B37" s="4" t="s">
        <v>22</v>
      </c>
      <c r="C37" s="4" t="n">
        <v>8</v>
      </c>
      <c r="D37" s="4" t="s">
        <v>187</v>
      </c>
      <c r="E37" s="4" t="s">
        <v>241</v>
      </c>
      <c r="F37" s="4" t="s">
        <v>242</v>
      </c>
    </row>
    <row r="38" customFormat="false" ht="15" hidden="false" customHeight="false" outlineLevel="0" collapsed="false">
      <c r="A38" s="4" t="n">
        <v>1</v>
      </c>
      <c r="B38" s="4" t="s">
        <v>22</v>
      </c>
      <c r="C38" s="4" t="n">
        <v>9</v>
      </c>
      <c r="D38" s="4" t="s">
        <v>187</v>
      </c>
      <c r="E38" s="4" t="s">
        <v>241</v>
      </c>
      <c r="F38" s="4" t="s">
        <v>243</v>
      </c>
    </row>
    <row r="39" customFormat="false" ht="15" hidden="false" customHeight="false" outlineLevel="0" collapsed="false">
      <c r="A39" s="4" t="n">
        <v>1</v>
      </c>
      <c r="B39" s="4" t="s">
        <v>22</v>
      </c>
      <c r="C39" s="4" t="n">
        <v>10</v>
      </c>
      <c r="D39" s="4" t="s">
        <v>190</v>
      </c>
      <c r="E39" s="4" t="s">
        <v>244</v>
      </c>
      <c r="F39" s="4" t="s">
        <v>245</v>
      </c>
    </row>
    <row r="40" customFormat="false" ht="15" hidden="false" customHeight="false" outlineLevel="0" collapsed="false">
      <c r="A40" s="4" t="n">
        <v>1</v>
      </c>
      <c r="B40" s="4" t="s">
        <v>22</v>
      </c>
      <c r="C40" s="4" t="n">
        <v>11</v>
      </c>
      <c r="D40" s="4" t="s">
        <v>184</v>
      </c>
      <c r="E40" s="4" t="s">
        <v>246</v>
      </c>
      <c r="F40" s="4" t="s">
        <v>247</v>
      </c>
    </row>
    <row r="41" customFormat="false" ht="15" hidden="false" customHeight="false" outlineLevel="0" collapsed="false">
      <c r="A41" s="4" t="n">
        <v>1</v>
      </c>
      <c r="B41" s="4" t="s">
        <v>22</v>
      </c>
      <c r="C41" s="4" t="n">
        <v>12</v>
      </c>
      <c r="D41" s="4" t="s">
        <v>187</v>
      </c>
      <c r="E41" s="4" t="s">
        <v>248</v>
      </c>
      <c r="F41" s="4" t="s">
        <v>249</v>
      </c>
    </row>
    <row r="42" customFormat="false" ht="15" hidden="false" customHeight="false" outlineLevel="0" collapsed="false">
      <c r="A42" s="4" t="n">
        <v>1</v>
      </c>
      <c r="B42" s="4" t="s">
        <v>22</v>
      </c>
      <c r="C42" s="4" t="n">
        <v>13</v>
      </c>
      <c r="D42" s="4" t="s">
        <v>190</v>
      </c>
      <c r="E42" s="4" t="s">
        <v>250</v>
      </c>
      <c r="F42" s="4" t="s">
        <v>251</v>
      </c>
    </row>
    <row r="43" customFormat="false" ht="15" hidden="false" customHeight="false" outlineLevel="0" collapsed="false">
      <c r="A43" s="4" t="n">
        <v>1</v>
      </c>
      <c r="B43" s="4" t="s">
        <v>22</v>
      </c>
      <c r="C43" s="4" t="n">
        <v>14</v>
      </c>
      <c r="D43" s="4" t="s">
        <v>184</v>
      </c>
      <c r="E43" s="4" t="s">
        <v>252</v>
      </c>
      <c r="F43" s="4" t="s">
        <v>253</v>
      </c>
    </row>
    <row r="44" customFormat="false" ht="15" hidden="false" customHeight="false" outlineLevel="0" collapsed="false">
      <c r="A44" s="4" t="n">
        <v>1</v>
      </c>
      <c r="B44" s="4" t="s">
        <v>22</v>
      </c>
      <c r="C44" s="4" t="n">
        <v>15</v>
      </c>
      <c r="D44" s="4" t="s">
        <v>184</v>
      </c>
      <c r="E44" s="4" t="s">
        <v>254</v>
      </c>
      <c r="F44" s="4" t="s">
        <v>255</v>
      </c>
    </row>
    <row r="45" customFormat="false" ht="15" hidden="false" customHeight="false" outlineLevel="0" collapsed="false">
      <c r="A45" s="4" t="n">
        <v>1</v>
      </c>
      <c r="B45" s="4" t="s">
        <v>22</v>
      </c>
      <c r="C45" s="4" t="n">
        <v>16</v>
      </c>
      <c r="D45" s="4" t="s">
        <v>187</v>
      </c>
      <c r="E45" s="4" t="s">
        <v>256</v>
      </c>
      <c r="F45" s="4" t="s">
        <v>257</v>
      </c>
    </row>
    <row r="46" customFormat="false" ht="15" hidden="false" customHeight="false" outlineLevel="0" collapsed="false">
      <c r="A46" s="4" t="n">
        <v>1</v>
      </c>
      <c r="B46" s="4" t="s">
        <v>22</v>
      </c>
      <c r="C46" s="4" t="n">
        <v>17</v>
      </c>
      <c r="D46" s="4" t="s">
        <v>190</v>
      </c>
      <c r="E46" s="4" t="s">
        <v>258</v>
      </c>
      <c r="F46" s="4" t="s">
        <v>259</v>
      </c>
    </row>
    <row r="47" customFormat="false" ht="15" hidden="false" customHeight="false" outlineLevel="0" collapsed="false">
      <c r="A47" s="4" t="n">
        <v>1</v>
      </c>
      <c r="B47" s="4" t="s">
        <v>22</v>
      </c>
      <c r="C47" s="4" t="n">
        <v>18</v>
      </c>
      <c r="D47" s="4" t="s">
        <v>209</v>
      </c>
      <c r="E47" s="4" t="s">
        <v>260</v>
      </c>
      <c r="F47" s="4" t="s">
        <v>261</v>
      </c>
    </row>
    <row r="48" customFormat="false" ht="15" hidden="false" customHeight="false" outlineLevel="0" collapsed="false">
      <c r="A48" s="4" t="n">
        <v>2</v>
      </c>
      <c r="B48" s="4" t="s">
        <v>24</v>
      </c>
      <c r="C48" s="4" t="n">
        <v>1</v>
      </c>
      <c r="D48" s="4" t="s">
        <v>184</v>
      </c>
      <c r="E48" s="4" t="s">
        <v>262</v>
      </c>
      <c r="F48" s="4" t="s">
        <v>232</v>
      </c>
    </row>
    <row r="49" customFormat="false" ht="15" hidden="false" customHeight="false" outlineLevel="0" collapsed="false">
      <c r="A49" s="4" t="n">
        <v>2</v>
      </c>
      <c r="B49" s="4" t="s">
        <v>24</v>
      </c>
      <c r="C49" s="4" t="n">
        <v>2</v>
      </c>
      <c r="D49" s="4" t="s">
        <v>187</v>
      </c>
      <c r="E49" s="4" t="s">
        <v>263</v>
      </c>
      <c r="F49" s="4" t="s">
        <v>234</v>
      </c>
    </row>
    <row r="50" customFormat="false" ht="15" hidden="false" customHeight="false" outlineLevel="0" collapsed="false">
      <c r="A50" s="4" t="n">
        <v>2</v>
      </c>
      <c r="B50" s="4" t="s">
        <v>24</v>
      </c>
      <c r="C50" s="4" t="n">
        <v>3</v>
      </c>
      <c r="D50" s="4" t="s">
        <v>190</v>
      </c>
      <c r="E50" s="4" t="s">
        <v>263</v>
      </c>
      <c r="F50" s="4" t="s">
        <v>235</v>
      </c>
    </row>
    <row r="51" customFormat="false" ht="15" hidden="false" customHeight="false" outlineLevel="0" collapsed="false">
      <c r="A51" s="4" t="n">
        <v>2</v>
      </c>
      <c r="B51" s="4" t="s">
        <v>24</v>
      </c>
      <c r="C51" s="4" t="n">
        <v>4</v>
      </c>
      <c r="D51" s="4" t="s">
        <v>184</v>
      </c>
      <c r="E51" s="4" t="s">
        <v>264</v>
      </c>
      <c r="F51" s="4" t="s">
        <v>237</v>
      </c>
    </row>
    <row r="52" customFormat="false" ht="15" hidden="false" customHeight="false" outlineLevel="0" collapsed="false">
      <c r="A52" s="4" t="n">
        <v>2</v>
      </c>
      <c r="B52" s="4" t="s">
        <v>24</v>
      </c>
      <c r="C52" s="4" t="n">
        <v>5</v>
      </c>
      <c r="D52" s="4" t="s">
        <v>187</v>
      </c>
      <c r="E52" s="4" t="s">
        <v>265</v>
      </c>
      <c r="F52" s="4" t="s">
        <v>189</v>
      </c>
    </row>
    <row r="53" customFormat="false" ht="15" hidden="false" customHeight="false" outlineLevel="0" collapsed="false">
      <c r="A53" s="4" t="n">
        <v>2</v>
      </c>
      <c r="B53" s="4" t="s">
        <v>24</v>
      </c>
      <c r="C53" s="4" t="n">
        <v>6</v>
      </c>
      <c r="D53" s="4" t="s">
        <v>190</v>
      </c>
      <c r="E53" s="4" t="s">
        <v>265</v>
      </c>
      <c r="F53" s="4" t="s">
        <v>191</v>
      </c>
    </row>
    <row r="54" customFormat="false" ht="15" hidden="false" customHeight="false" outlineLevel="0" collapsed="false">
      <c r="A54" s="4" t="n">
        <v>2</v>
      </c>
      <c r="B54" s="4" t="s">
        <v>24</v>
      </c>
      <c r="C54" s="4" t="n">
        <v>7</v>
      </c>
      <c r="D54" s="4" t="s">
        <v>184</v>
      </c>
      <c r="E54" s="4" t="s">
        <v>266</v>
      </c>
      <c r="F54" s="4" t="s">
        <v>240</v>
      </c>
    </row>
    <row r="55" customFormat="false" ht="15" hidden="false" customHeight="false" outlineLevel="0" collapsed="false">
      <c r="A55" s="4" t="n">
        <v>2</v>
      </c>
      <c r="B55" s="4" t="s">
        <v>24</v>
      </c>
      <c r="C55" s="4" t="n">
        <v>8</v>
      </c>
      <c r="D55" s="4" t="s">
        <v>187</v>
      </c>
      <c r="E55" s="4" t="s">
        <v>267</v>
      </c>
      <c r="F55" s="4" t="s">
        <v>195</v>
      </c>
    </row>
    <row r="56" customFormat="false" ht="15" hidden="false" customHeight="false" outlineLevel="0" collapsed="false">
      <c r="A56" s="4" t="n">
        <v>2</v>
      </c>
      <c r="B56" s="4" t="s">
        <v>24</v>
      </c>
      <c r="C56" s="4" t="n">
        <v>9</v>
      </c>
      <c r="D56" s="4" t="s">
        <v>190</v>
      </c>
      <c r="E56" s="4" t="s">
        <v>268</v>
      </c>
      <c r="F56" s="4" t="s">
        <v>269</v>
      </c>
    </row>
    <row r="57" customFormat="false" ht="15" hidden="false" customHeight="false" outlineLevel="0" collapsed="false">
      <c r="A57" s="4" t="n">
        <v>2</v>
      </c>
      <c r="B57" s="4" t="s">
        <v>24</v>
      </c>
      <c r="C57" s="4" t="n">
        <v>10</v>
      </c>
      <c r="D57" s="4" t="s">
        <v>184</v>
      </c>
      <c r="E57" s="4" t="s">
        <v>270</v>
      </c>
      <c r="F57" s="4" t="s">
        <v>271</v>
      </c>
    </row>
    <row r="58" customFormat="false" ht="15" hidden="false" customHeight="false" outlineLevel="0" collapsed="false">
      <c r="A58" s="4" t="n">
        <v>2</v>
      </c>
      <c r="B58" s="4" t="s">
        <v>24</v>
      </c>
      <c r="C58" s="4" t="n">
        <v>11</v>
      </c>
      <c r="D58" s="4" t="s">
        <v>187</v>
      </c>
      <c r="E58" s="4" t="s">
        <v>272</v>
      </c>
      <c r="F58" s="4" t="s">
        <v>273</v>
      </c>
    </row>
    <row r="59" customFormat="false" ht="15" hidden="false" customHeight="false" outlineLevel="0" collapsed="false">
      <c r="A59" s="4" t="n">
        <v>2</v>
      </c>
      <c r="B59" s="4" t="s">
        <v>24</v>
      </c>
      <c r="C59" s="4" t="n">
        <v>12</v>
      </c>
      <c r="D59" s="4" t="s">
        <v>190</v>
      </c>
      <c r="E59" s="4" t="s">
        <v>274</v>
      </c>
      <c r="F59" s="4" t="s">
        <v>275</v>
      </c>
    </row>
    <row r="60" customFormat="false" ht="15" hidden="false" customHeight="false" outlineLevel="0" collapsed="false">
      <c r="A60" s="4" t="n">
        <v>2</v>
      </c>
      <c r="B60" s="4" t="s">
        <v>24</v>
      </c>
      <c r="C60" s="4" t="n">
        <v>13</v>
      </c>
      <c r="D60" s="4" t="s">
        <v>187</v>
      </c>
      <c r="E60" s="4" t="s">
        <v>276</v>
      </c>
      <c r="F60" s="4" t="s">
        <v>277</v>
      </c>
    </row>
    <row r="61" customFormat="false" ht="15" hidden="false" customHeight="false" outlineLevel="0" collapsed="false">
      <c r="A61" s="4" t="n">
        <v>2</v>
      </c>
      <c r="B61" s="4" t="s">
        <v>24</v>
      </c>
      <c r="C61" s="4" t="n">
        <v>14</v>
      </c>
      <c r="D61" s="4" t="s">
        <v>190</v>
      </c>
      <c r="E61" s="4" t="s">
        <v>278</v>
      </c>
      <c r="F61" s="4" t="s">
        <v>279</v>
      </c>
    </row>
    <row r="62" customFormat="false" ht="15" hidden="false" customHeight="false" outlineLevel="0" collapsed="false">
      <c r="A62" s="4" t="n">
        <v>2</v>
      </c>
      <c r="B62" s="4" t="s">
        <v>24</v>
      </c>
      <c r="C62" s="4" t="n">
        <v>15</v>
      </c>
      <c r="D62" s="4" t="s">
        <v>184</v>
      </c>
      <c r="E62" s="4" t="s">
        <v>280</v>
      </c>
      <c r="F62" s="4" t="s">
        <v>281</v>
      </c>
    </row>
    <row r="63" customFormat="false" ht="15" hidden="false" customHeight="false" outlineLevel="0" collapsed="false">
      <c r="A63" s="4" t="n">
        <v>2</v>
      </c>
      <c r="B63" s="4" t="s">
        <v>24</v>
      </c>
      <c r="C63" s="4" t="n">
        <v>16</v>
      </c>
      <c r="D63" s="4" t="s">
        <v>187</v>
      </c>
      <c r="E63" s="4" t="s">
        <v>282</v>
      </c>
      <c r="F63" s="4" t="s">
        <v>283</v>
      </c>
    </row>
    <row r="64" customFormat="false" ht="15" hidden="false" customHeight="false" outlineLevel="0" collapsed="false">
      <c r="A64" s="4" t="n">
        <v>2</v>
      </c>
      <c r="B64" s="4" t="s">
        <v>24</v>
      </c>
      <c r="C64" s="4" t="n">
        <v>17</v>
      </c>
      <c r="D64" s="4" t="s">
        <v>190</v>
      </c>
      <c r="E64" s="4" t="s">
        <v>284</v>
      </c>
      <c r="F64" s="4" t="s">
        <v>285</v>
      </c>
    </row>
    <row r="65" customFormat="false" ht="15" hidden="false" customHeight="false" outlineLevel="0" collapsed="false">
      <c r="A65" s="4" t="n">
        <v>2</v>
      </c>
      <c r="B65" s="4" t="s">
        <v>24</v>
      </c>
      <c r="C65" s="4" t="n">
        <v>18</v>
      </c>
      <c r="D65" s="4" t="s">
        <v>184</v>
      </c>
      <c r="E65" s="4" t="s">
        <v>286</v>
      </c>
      <c r="F65" s="4" t="s">
        <v>287</v>
      </c>
    </row>
    <row r="66" customFormat="false" ht="15" hidden="false" customHeight="false" outlineLevel="0" collapsed="false">
      <c r="A66" s="4" t="n">
        <v>2</v>
      </c>
      <c r="B66" s="4" t="s">
        <v>24</v>
      </c>
      <c r="C66" s="4" t="n">
        <v>19</v>
      </c>
      <c r="D66" s="4" t="s">
        <v>187</v>
      </c>
      <c r="E66" s="4" t="s">
        <v>288</v>
      </c>
      <c r="F66" s="4" t="s">
        <v>257</v>
      </c>
    </row>
    <row r="67" customFormat="false" ht="15" hidden="false" customHeight="false" outlineLevel="0" collapsed="false">
      <c r="A67" s="4" t="n">
        <v>2</v>
      </c>
      <c r="B67" s="4" t="s">
        <v>24</v>
      </c>
      <c r="C67" s="4" t="n">
        <v>20</v>
      </c>
      <c r="D67" s="4" t="s">
        <v>187</v>
      </c>
      <c r="E67" s="4" t="s">
        <v>289</v>
      </c>
      <c r="F67" s="4" t="s">
        <v>290</v>
      </c>
    </row>
    <row r="68" customFormat="false" ht="15" hidden="false" customHeight="false" outlineLevel="0" collapsed="false">
      <c r="A68" s="4" t="n">
        <v>2</v>
      </c>
      <c r="B68" s="4" t="s">
        <v>24</v>
      </c>
      <c r="C68" s="4" t="n">
        <v>21</v>
      </c>
      <c r="D68" s="4" t="s">
        <v>184</v>
      </c>
      <c r="E68" s="4" t="s">
        <v>291</v>
      </c>
      <c r="F68" s="4" t="s">
        <v>292</v>
      </c>
    </row>
    <row r="69" customFormat="false" ht="15" hidden="false" customHeight="false" outlineLevel="0" collapsed="false">
      <c r="A69" s="4" t="n">
        <v>2</v>
      </c>
      <c r="B69" s="4" t="s">
        <v>24</v>
      </c>
      <c r="C69" s="4" t="n">
        <v>22</v>
      </c>
      <c r="D69" s="4" t="s">
        <v>187</v>
      </c>
      <c r="E69" s="4" t="s">
        <v>293</v>
      </c>
      <c r="F69" s="4" t="s">
        <v>294</v>
      </c>
    </row>
    <row r="70" customFormat="false" ht="15" hidden="false" customHeight="false" outlineLevel="0" collapsed="false">
      <c r="A70" s="4" t="n">
        <v>2</v>
      </c>
      <c r="B70" s="4" t="s">
        <v>24</v>
      </c>
      <c r="C70" s="4" t="n">
        <v>23</v>
      </c>
      <c r="D70" s="4" t="s">
        <v>184</v>
      </c>
      <c r="E70" s="4" t="s">
        <v>295</v>
      </c>
      <c r="F70" s="4" t="s">
        <v>296</v>
      </c>
    </row>
    <row r="71" customFormat="false" ht="15" hidden="false" customHeight="false" outlineLevel="0" collapsed="false">
      <c r="A71" s="4" t="n">
        <v>2</v>
      </c>
      <c r="B71" s="4" t="s">
        <v>24</v>
      </c>
      <c r="C71" s="4" t="n">
        <v>24</v>
      </c>
      <c r="D71" s="4" t="s">
        <v>209</v>
      </c>
      <c r="E71" s="4" t="s">
        <v>297</v>
      </c>
      <c r="F71" s="4" t="s">
        <v>298</v>
      </c>
    </row>
    <row r="72" customFormat="false" ht="15" hidden="false" customHeight="false" outlineLevel="0" collapsed="false">
      <c r="A72" s="4" t="n">
        <v>2</v>
      </c>
      <c r="B72" s="4" t="s">
        <v>24</v>
      </c>
      <c r="C72" s="4" t="n">
        <v>25</v>
      </c>
      <c r="D72" s="4" t="s">
        <v>184</v>
      </c>
      <c r="E72" s="4" t="s">
        <v>299</v>
      </c>
      <c r="F72" s="4" t="s">
        <v>300</v>
      </c>
    </row>
    <row r="73" customFormat="false" ht="15" hidden="false" customHeight="false" outlineLevel="0" collapsed="false">
      <c r="A73" s="4" t="n">
        <v>2</v>
      </c>
      <c r="B73" s="4" t="s">
        <v>24</v>
      </c>
      <c r="C73" s="4" t="n">
        <v>26</v>
      </c>
      <c r="D73" s="4" t="s">
        <v>187</v>
      </c>
      <c r="E73" s="4" t="s">
        <v>301</v>
      </c>
      <c r="F73" s="4" t="s">
        <v>302</v>
      </c>
    </row>
    <row r="74" customFormat="false" ht="15" hidden="false" customHeight="false" outlineLevel="0" collapsed="false">
      <c r="A74" s="4" t="n">
        <v>2</v>
      </c>
      <c r="B74" s="4" t="s">
        <v>24</v>
      </c>
      <c r="C74" s="4" t="n">
        <v>27</v>
      </c>
      <c r="D74" s="4" t="s">
        <v>187</v>
      </c>
      <c r="E74" s="4" t="s">
        <v>301</v>
      </c>
      <c r="F74" s="4" t="s">
        <v>303</v>
      </c>
    </row>
    <row r="75" customFormat="false" ht="15" hidden="false" customHeight="false" outlineLevel="0" collapsed="false">
      <c r="A75" s="4" t="n">
        <v>2</v>
      </c>
      <c r="B75" s="4" t="s">
        <v>24</v>
      </c>
      <c r="C75" s="4" t="n">
        <v>28</v>
      </c>
      <c r="D75" s="4" t="s">
        <v>184</v>
      </c>
      <c r="E75" s="4" t="s">
        <v>304</v>
      </c>
      <c r="F75" s="4" t="s">
        <v>305</v>
      </c>
    </row>
    <row r="76" customFormat="false" ht="15" hidden="false" customHeight="false" outlineLevel="0" collapsed="false">
      <c r="A76" s="4" t="n">
        <v>2</v>
      </c>
      <c r="B76" s="4" t="s">
        <v>24</v>
      </c>
      <c r="C76" s="4" t="n">
        <v>29</v>
      </c>
      <c r="D76" s="4" t="s">
        <v>187</v>
      </c>
      <c r="E76" s="4" t="s">
        <v>306</v>
      </c>
      <c r="F76" s="4" t="s">
        <v>307</v>
      </c>
    </row>
    <row r="77" customFormat="false" ht="15" hidden="false" customHeight="false" outlineLevel="0" collapsed="false">
      <c r="A77" s="4" t="n">
        <v>2</v>
      </c>
      <c r="B77" s="4" t="s">
        <v>24</v>
      </c>
      <c r="C77" s="4" t="n">
        <v>30</v>
      </c>
      <c r="D77" s="4" t="s">
        <v>184</v>
      </c>
      <c r="E77" s="4" t="s">
        <v>306</v>
      </c>
      <c r="F77" s="4" t="s">
        <v>308</v>
      </c>
    </row>
    <row r="78" customFormat="false" ht="15" hidden="false" customHeight="false" outlineLevel="0" collapsed="false">
      <c r="A78" s="4" t="n">
        <v>2</v>
      </c>
      <c r="B78" s="4" t="s">
        <v>24</v>
      </c>
      <c r="C78" s="4" t="n">
        <v>31</v>
      </c>
      <c r="D78" s="4" t="s">
        <v>187</v>
      </c>
      <c r="E78" s="4" t="s">
        <v>309</v>
      </c>
      <c r="F78" s="4" t="s">
        <v>310</v>
      </c>
    </row>
    <row r="79" customFormat="false" ht="15" hidden="false" customHeight="false" outlineLevel="0" collapsed="false">
      <c r="A79" s="4" t="n">
        <v>2</v>
      </c>
      <c r="B79" s="4" t="s">
        <v>24</v>
      </c>
      <c r="C79" s="4" t="n">
        <v>32</v>
      </c>
      <c r="D79" s="4" t="s">
        <v>187</v>
      </c>
      <c r="E79" s="4" t="s">
        <v>311</v>
      </c>
      <c r="F79" s="4" t="s">
        <v>312</v>
      </c>
    </row>
    <row r="80" customFormat="false" ht="15" hidden="false" customHeight="false" outlineLevel="0" collapsed="false">
      <c r="A80" s="4" t="n">
        <v>2</v>
      </c>
      <c r="B80" s="4" t="s">
        <v>24</v>
      </c>
      <c r="C80" s="4" t="n">
        <v>33</v>
      </c>
      <c r="D80" s="4" t="s">
        <v>190</v>
      </c>
      <c r="E80" s="4" t="s">
        <v>313</v>
      </c>
      <c r="F80" s="4" t="s">
        <v>279</v>
      </c>
    </row>
    <row r="81" customFormat="false" ht="15" hidden="false" customHeight="false" outlineLevel="0" collapsed="false">
      <c r="A81" s="4" t="n">
        <v>2</v>
      </c>
      <c r="B81" s="4" t="s">
        <v>24</v>
      </c>
      <c r="C81" s="4" t="n">
        <v>34</v>
      </c>
      <c r="D81" s="4" t="s">
        <v>190</v>
      </c>
      <c r="E81" s="4" t="s">
        <v>314</v>
      </c>
      <c r="F81" s="4" t="s">
        <v>315</v>
      </c>
    </row>
    <row r="82" customFormat="false" ht="15" hidden="false" customHeight="false" outlineLevel="0" collapsed="false">
      <c r="A82" s="4" t="n">
        <v>2</v>
      </c>
      <c r="B82" s="4" t="s">
        <v>24</v>
      </c>
      <c r="C82" s="4" t="n">
        <v>35</v>
      </c>
      <c r="D82" s="4" t="s">
        <v>190</v>
      </c>
      <c r="E82" s="4" t="s">
        <v>316</v>
      </c>
      <c r="F82" s="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2026-10-09T11:57:33Z</dcterms:created>
  <dc:creator>openpyxl</dc:creator>
  <dc:description/>
  <dc:language>en-US</dc:language>
  <cp:lastModifiedBy/>
  <dcterms:modified xsi:type="dcterms:W3CDTF">2026-10-09T11:57:33Z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