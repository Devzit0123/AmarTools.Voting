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 01-30" sheetId="1" state="visible" r:id="rId3"/>
  </sheets>
  <definedNames>
    <definedName function="false" hidden="true" localSheetId="0" name="_xlnm._FilterDatabase" vbProcedure="false">'TestCases 01-30'!$A$4:$I$34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<sst xmlns="http://schemas.openxmlformats.org/spreadsheetml/2006/main" count="283" uniqueCount="196">
  <si>
    <t xml:space="preserve">Afrin - VotingService / VotingProgram / VotingAdminController test cases TC-01-30 (results from afrin.trx, run 2026-10-13)</t>
  </si>
  <si>
    <t xml:space="preserve">Total</t>
  </si>
  <si>
    <t xml:space="preserve">Pass</t>
  </si>
  <si>
    <t xml:space="preserve">Fail</t>
  </si>
  <si>
    <t xml:space="preserve">TC ID</t>
  </si>
  <si>
    <t xml:space="preserve">Module</t>
  </si>
  <si>
    <t xml:space="preserve">Method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</si>
  <si>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</si>
  <si>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</si>
  <si>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</si>
  <si>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</si>
  <si>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</si>
  <si>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xUnit Method</t>
  </si>
  <si>
    <t xml:space="preserve">TC-01</t>
  </si>
  <si>
    <t xml:space="preserve">Program</t>
  </si>
  <si>
    <t xml:space="preserve">Functional</t>
  </si>
  <si>
    <t xml:space="preserve">Logged-in user creates a program, UTC start now, end 1 hour later</t>
  </si>
  <si>
    <t xml:space="preserve">1. Create fixture (logged-in test-user-id)  2. Call ValidateAndCreateProgramAsync(program)  3. Read saved program</t>
  </si>
  <si>
    <t xml:space="preserve">Success; OwnerId is the user id; CreatedBy is the user name</t>
  </si>
  <si>
    <t xml:space="preserve">Saved; OwnerId = test-user-id, CreatedBy = Test User. xUnit: Passed (1261 ms).</t>
  </si>
  <si>
    <t xml:space="preserve">TestCaseExecutionTests.TC01_CreateValidProgram_IsSavedWithOwner</t>
  </si>
  <si>
    <t xml:space="preserve">TC-02</t>
  </si>
  <si>
    <t xml:space="preserve">Negative</t>
  </si>
  <si>
    <t xml:space="preserve">ProgramName = ""</t>
  </si>
  <si>
    <t xml:space="preserve">1. Create fixture  2. Set ProgramName = ""  3. Call ValidateAndCreateProgramAsync(model)</t>
  </si>
  <si>
    <t xml:space="preserve">Rejected: "Program name is required"</t>
  </si>
  <si>
    <t xml:space="preserve">Rejected; message contains "Program name is required". xUnit: Passed (2 ms).</t>
  </si>
  <si>
    <t xml:space="preserve">TestCaseExecutionTests.TC02_CreateProgram_EmptyName_IsRejected</t>
  </si>
  <si>
    <t xml:space="preserve">TC-03</t>
  </si>
  <si>
    <t xml:space="preserve">BVA</t>
  </si>
  <si>
    <t xml:space="preserve">Start = now, End = Start + 5 min</t>
  </si>
  <si>
    <t xml:space="preserve">1. Create fixture  2. Build program, End = Start + 5 min  3. Call ValidateAndCreateProgramAsync(model)</t>
  </si>
  <si>
    <t xml:space="preserve">Accepted</t>
  </si>
  <si>
    <t xml:space="preserve">Accepted (success = true). xUnit: Passed (2 ms).</t>
  </si>
  <si>
    <t xml:space="preserve">TestCaseExecutionTests.TC03_CreateProgram_DurationExactlyFiveMinutes_IsAccepted</t>
  </si>
  <si>
    <t xml:space="preserve">TC-04</t>
  </si>
  <si>
    <t xml:space="preserve">Start = now, End = Start + 4 min 59 s</t>
  </si>
  <si>
    <t xml:space="preserve">1. Create fixture  2. Build program, End = Start + 4 min 59 s  3. Call ValidateAndCreateProgramAsync(model)</t>
  </si>
  <si>
    <t xml:space="preserve">Rejected: "at least 5 minutes"</t>
  </si>
  <si>
    <t xml:space="preserve">Rejected; message contains "at least 5 minutes". xUnit: Passed (1 ms).</t>
  </si>
  <si>
    <t xml:space="preserve">TestCaseExecutionTests.TC04_CreateProgram_DurationJustUnderFiveMinutes_IsRejected</t>
  </si>
  <si>
    <t xml:space="preserve">TC-05</t>
  </si>
  <si>
    <t xml:space="preserve">Start = now, End = Start - 10 min</t>
  </si>
  <si>
    <t xml:space="preserve">1. Create fixture  2. Build program, End = Start - 10 min  3. Call ValidateAndCreateProgramAsync(model)</t>
  </si>
  <si>
    <t xml:space="preserve">TestCaseExecutionTests.TC05_CreateProgram_EndBeforeStart_IsRejected</t>
  </si>
  <si>
    <t xml:space="preserve">TC-06</t>
  </si>
  <si>
    <t xml:space="preserve">User not authenticated; valid program, 1 h long</t>
  </si>
  <si>
    <t xml:space="preserve">1. Create fixture with unauthenticated identity  2. Call ValidateAndCreateProgramAsync(model)</t>
  </si>
  <si>
    <t xml:space="preserve">Rejected: "logged in"</t>
  </si>
  <si>
    <t xml:space="preserve">Rejected; message contains "logged in". xUnit: Passed (1 ms).</t>
  </si>
  <si>
    <t xml:space="preserve">TestCaseExecutionTests.TC06_CreateProgram_UnauthenticatedUser_IsRejected</t>
  </si>
  <si>
    <t xml:space="preserve">TC-07</t>
  </si>
  <si>
    <t xml:space="preserve">EP</t>
  </si>
  <si>
    <t xml:space="preserve">Slug = "Campus Vote 2026"</t>
  </si>
  <si>
    <t xml:space="preserve">1. Create fixture  2. Build program with Slug = "Campus Vote 2026"  3. Call ValidateAndCreateProgramAsync(model)  4. Read saved slug</t>
  </si>
  <si>
    <t xml:space="preserve">Accepted; stored as "campus-vote-2026"</t>
  </si>
  <si>
    <t xml:space="preserve">Accepted; slug stored as "campus-vote-2026". xUnit: Passed (2 ms).</t>
  </si>
  <si>
    <t xml:space="preserve">TestCaseExecutionTests.TC07_CreateProgram_MessySlug_IsNormalized</t>
  </si>
  <si>
    <t xml:space="preserve">TC-08</t>
  </si>
  <si>
    <t xml:space="preserve">Slug "taken" exists; add "TAKEN"</t>
  </si>
  <si>
    <t xml:space="preserve">1. Create fixture  2. Create program with slug "taken"  3. Create second program with slug "TAKEN"</t>
  </si>
  <si>
    <t xml:space="preserve">Rejected: "already taken"</t>
  </si>
  <si>
    <t xml:space="preserve">Second program rejected; message contains "already taken". xUnit: Passed (2 ms).</t>
  </si>
  <si>
    <t xml:space="preserve">TestCaseExecutionTests.TC08_CreateProgram_DuplicateSlug_IsRejected</t>
  </si>
  <si>
    <t xml:space="preserve">TC-09</t>
  </si>
  <si>
    <t xml:space="preserve">Owner changes own program name</t>
  </si>
  <si>
    <t xml:space="preserve">1. Fixture as owner-1  2. Seed program 1 owned by owner-1  3. Call ValidateAndUpdateProgramAsync(1, model) with new name  4. Read program 1</t>
  </si>
  <si>
    <t xml:space="preserve">Accepted; name changed</t>
  </si>
  <si>
    <t xml:space="preserve">Accepted; name changed to "Renamed By Owner". xUnit: Passed (3 ms).</t>
  </si>
  <si>
    <t xml:space="preserve">TestCaseExecutionTests.TC09_UpdateProgram_ByOwner_IsAccepted</t>
  </si>
  <si>
    <t xml:space="preserve">TC-10</t>
  </si>
  <si>
    <t xml:space="preserve">Different non-admin user edits the program</t>
  </si>
  <si>
    <t xml:space="preserve">1. Fixture as someone-else (non-admin)  2. Seed program 1 owned by owner-1  3. Call ValidateAndUpdateProgramAsync(1, model)  4. Read program 1</t>
  </si>
  <si>
    <t xml:space="preserve">Rejected: "not allowed"; name unchanged</t>
  </si>
  <si>
    <t xml:space="preserve">Rejected; message contains "not allowed"; name still "Seeded Program". xUnit: Passed (2 ms).</t>
  </si>
  <si>
    <t xml:space="preserve">TestCaseExecutionTests.TC10_UpdateProgram_ByOtherUser_IsRejected</t>
  </si>
  <si>
    <t xml:space="preserve">TC-11</t>
  </si>
  <si>
    <t xml:space="preserve">Admin who is not the owner edits the program</t>
  </si>
  <si>
    <t xml:space="preserve">1. Fixture as admin-1 with Admin role  2. Seed program 1 owned by owner-1  3. Call ValidateAndUpdateProgramAsync(1, model)</t>
  </si>
  <si>
    <t xml:space="preserve">TestCaseExecutionTests.TC11_UpdateProgram_ByAdmin_IsAccepted</t>
  </si>
  <si>
    <t xml:space="preserve">TC-12</t>
  </si>
  <si>
    <t xml:space="preserve">Update program id 999</t>
  </si>
  <si>
    <t xml:space="preserve">1. Create fixture with no programs  2. Call ValidateAndUpdateProgramAsync(999, model)</t>
  </si>
  <si>
    <t xml:space="preserve">Rejected: "not found"</t>
  </si>
  <si>
    <t xml:space="preserve">Rejected; message contains "not found". xUnit: Passed (2 ms).</t>
  </si>
  <si>
    <t xml:space="preserve">TestCaseExecutionTests.TC12_UpdateProgram_MissingProgram_IsRejected</t>
  </si>
  <si>
    <t xml:space="preserve">TC-13</t>
  </si>
  <si>
    <t xml:space="preserve">Voter</t>
  </si>
  <si>
    <t xml:space="preserve">Register "Karim Hossain" with email " Student@Example.com "</t>
  </si>
  <si>
    <t xml:space="preserve">1. Seed program 1  2. Call RegisterVoterByEmailAsync(1, "Karim Hossain", " Student@Example.com ", null, "owner")  3. Read saved voter</t>
  </si>
  <si>
    <t xml:space="preserve">Accepted; email stored as "student@example.com"</t>
  </si>
  <si>
    <t xml:space="preserve">Accepted; email stored as "student@example.com". xUnit: Passed (3 ms).</t>
  </si>
  <si>
    <t xml:space="preserve">TestCaseExecutionTests.TC13_RegisterVoter_Valid_EmailIsCleaned</t>
  </si>
  <si>
    <t xml:space="preserve">TC-14</t>
  </si>
  <si>
    <t xml:space="preserve">Voter name is blank</t>
  </si>
  <si>
    <t xml:space="preserve">1. Seed program 1  2. Call RegisterVoterByEmailAsync(1, "   ", "student@example.com", null, "owner")</t>
  </si>
  <si>
    <t xml:space="preserve">Rejected: "required"</t>
  </si>
  <si>
    <t xml:space="preserve">Rejected; message contains "required". xUnit: Passed (2 ms).</t>
  </si>
  <si>
    <t xml:space="preserve">TestCaseExecutionTests.TC14_RegisterVoter_BlankName_IsRejected</t>
  </si>
  <si>
    <t xml:space="preserve">TC-15</t>
  </si>
  <si>
    <t xml:space="preserve">Same email (different letter case) already in the program</t>
  </si>
  <si>
    <t xml:space="preserve">1. Seed program 1 and voter 5 (student@example.com)  2. Call RegisterVoterByEmailAsync(1, "Karim Hossain", "STUDENT@example.com", null, "owner")  3. Count voters</t>
  </si>
  <si>
    <t xml:space="preserve">Rejected: "email is already registered"; voter count stays 1</t>
  </si>
  <si>
    <t xml:space="preserve">Rejected; message contains "email is already registered"; voter count = 1. xUnit: Passed (2 ms).</t>
  </si>
  <si>
    <t xml:space="preserve">TestCaseExecutionTests.TC15_RegisterVoter_DuplicateEmail_IsRejected</t>
  </si>
  <si>
    <t xml:space="preserve">TC-16</t>
  </si>
  <si>
    <t xml:space="preserve">Register into program id 999</t>
  </si>
  <si>
    <t xml:space="preserve">1. Create fixture with no programs  2. Call RegisterVoterByEmailAsync(999, "Karim Hossain", "student@example.com", null, "owner")</t>
  </si>
  <si>
    <t xml:space="preserve">TestCaseExecutionTests.TC16_RegisterVoter_MissingProgram_IsRejected</t>
  </si>
  <si>
    <t xml:space="preserve">TC-17</t>
  </si>
  <si>
    <t xml:space="preserve">Email belongs to existing user account user-1</t>
  </si>
  <si>
    <t xml:space="preserve">1. Seed program 1  2. Mock UserManager.FindByEmailAsync to return user-1  3. Call RegisterVoterByEmailAsync  4. Read saved voter</t>
  </si>
  <si>
    <t xml:space="preserve">Accepted; voter UserId is user-1</t>
  </si>
  <si>
    <t xml:space="preserve">Accepted; voter UserId = user-1. xUnit: Passed (47 ms).</t>
  </si>
  <si>
    <t xml:space="preserve">TestCaseExecutionTests.TC17_RegisterVoter_EmailWithAccount_LinksUserId</t>
  </si>
  <si>
    <t xml:space="preserve">TC-18</t>
  </si>
  <si>
    <t xml:space="preserve">Remove voter 5 from program 1</t>
  </si>
  <si>
    <t xml:space="preserve">1. Seed program 1 and voter 5  2. Call RemoveVoterAsync(5, 1)  3. Count voters</t>
  </si>
  <si>
    <t xml:space="preserve">Success; voter deleted</t>
  </si>
  <si>
    <t xml:space="preserve">Success; voter count = 0. xUnit: Passed (13 ms).</t>
  </si>
  <si>
    <t xml:space="preserve">TestCaseExecutionTests.TC18_RemoveVoter_ExistingVoter_IsRemoved</t>
  </si>
  <si>
    <t xml:space="preserve">TC-19</t>
  </si>
  <si>
    <t xml:space="preserve">Remove a voter that belongs to program 2 using program 1</t>
  </si>
  <si>
    <t xml:space="preserve">1. Seed programs 1 and 2, voter 5 in program 2  2. Call RemoveVoterAsync(5, 1)  3. Count voters</t>
  </si>
  <si>
    <t xml:space="preserve">Rejected; voter still exists</t>
  </si>
  <si>
    <t xml:space="preserve">Rejected; voter count still 1. xUnit: Passed (3 ms).</t>
  </si>
  <si>
    <t xml:space="preserve">TestCaseExecutionTests.TC19_RemoveVoter_WrongProgram_IsRejected</t>
  </si>
  <si>
    <t xml:space="preserve">TC-20</t>
  </si>
  <si>
    <t xml:space="preserve">Results</t>
  </si>
  <si>
    <t xml:space="preserve">Get results for program 999</t>
  </si>
  <si>
    <t xml:space="preserve">1. Create fixture with no programs  2. Call GetResultsAsync(999)</t>
  </si>
  <si>
    <t xml:space="preserve">Empty list</t>
  </si>
  <si>
    <t xml:space="preserve">Empty list returned. xUnit: Passed (6 ms).</t>
  </si>
  <si>
    <t xml:space="preserve">TestCaseExecutionTests.TC20_Results_MissingProgram_ReturnsEmptyList</t>
  </si>
  <si>
    <t xml:space="preserve">TC-21</t>
  </si>
  <si>
    <t xml:space="preserve">Candidates A has 1 vote, B has 3, C has 0</t>
  </si>
  <si>
    <t xml:space="preserve">1. Seed program 1, candidates A/B/C and 4 votes (B x3, A x1)  2. Call GetResultsAsync(1)</t>
  </si>
  <si>
    <t xml:space="preserve">Order B, A, C with counts 3, 1, 0</t>
  </si>
  <si>
    <t xml:space="preserve">Order B, A, C with counts 3, 1, 0. xUnit: Passed (110 ms).</t>
  </si>
  <si>
    <t xml:space="preserve">TestCaseExecutionTests.TC21_Results_AreSortedByVotesDescending</t>
  </si>
  <si>
    <t xml:space="preserve">TC-22</t>
  </si>
  <si>
    <t xml:space="preserve">Two candidates, no votes cast</t>
  </si>
  <si>
    <t xml:space="preserve">1. Seed program 1 and candidates A and B, no votes  2. Call GetResultsAsync(1)</t>
  </si>
  <si>
    <t xml:space="preserve">2 rows, each with count 0</t>
  </si>
  <si>
    <t xml:space="preserve">2 rows returned, each with count 0. xUnit: Passed (13 ms).</t>
  </si>
  <si>
    <t xml:space="preserve">TestCaseExecutionTests.TC22_Results_NoVotes_AllCountsAreZero</t>
  </si>
  <si>
    <t xml:space="preserve">TC-23</t>
  </si>
  <si>
    <t xml:space="preserve">Model</t>
  </si>
  <si>
    <t xml:space="preserve">Program name with 3 characters</t>
  </si>
  <si>
    <t xml:space="preserve">1. Build valid VotingProgram  2. Set ProgramName = 'A' x 3  3. Run DataAnnotations validation</t>
  </si>
  <si>
    <t xml:space="preserve">Valid</t>
  </si>
  <si>
    <t xml:space="preserve">Model valid. xUnit: Passed (&lt;1 ms).</t>
  </si>
  <si>
    <t xml:space="preserve">TestCaseExecutionTests.TC23_ProgramName_ThreeCharacters_IsValid</t>
  </si>
  <si>
    <t xml:space="preserve">TC-24</t>
  </si>
  <si>
    <t xml:space="preserve">Program name with 201 characters</t>
  </si>
  <si>
    <t xml:space="preserve">1. Build valid VotingProgram  2. Set ProgramName = 'A' x 201  3. Run DataAnnotations validation</t>
  </si>
  <si>
    <t xml:space="preserve">Invalid</t>
  </si>
  <si>
    <t xml:space="preserve">Model invalid. xUnit: Passed (&lt;1 ms).</t>
  </si>
  <si>
    <t xml:space="preserve">TestCaseExecutionTests.TC24_ProgramName_TwoHundredOneCharacters_IsInvalid</t>
  </si>
  <si>
    <t xml:space="preserve">TC-25</t>
  </si>
  <si>
    <t xml:space="preserve">Slug "campus election" (contains a space)</t>
  </si>
  <si>
    <t xml:space="preserve">1. Build valid VotingProgram  2. Set Slug = "campus election"  3. Run DataAnnotations validation</t>
  </si>
  <si>
    <t xml:space="preserve">TestCaseExecutionTests.TC25_Slug_WithSpace_IsInvalid</t>
  </si>
  <si>
    <t xml:space="preserve">TC-26</t>
  </si>
  <si>
    <t xml:space="preserve">IsOpenAt with the time equal to the end time</t>
  </si>
  <si>
    <t xml:space="preserve">1. Set start = 2026-01-01 12:00 UTC, end = start + 1 h  2. Call VotingProgram.IsOpenAt(start, end, end)</t>
  </si>
  <si>
    <t xml:space="preserve">false (end time is exclusive)</t>
  </si>
  <si>
    <t xml:space="preserve">IsOpenAt returned false. xUnit: Passed (&lt;1 ms).</t>
  </si>
  <si>
    <t xml:space="preserve">TestCaseExecutionTests.TC26_IsOpenAt_ExactlyAtEndTime_IsFalse</t>
  </si>
  <si>
    <t xml:space="preserve">TC-27</t>
  </si>
  <si>
    <t xml:space="preserve">Time</t>
  </si>
  <si>
    <t xml:space="preserve">NormalizeToUtc: 12:00 unspecified time, browser offset 360 minutes</t>
  </si>
  <si>
    <t xml:space="preserve">1. Build DateTime 2026-01-01 12:00 (Unspecified)  2. Call VotingService.NormalizeToUtc(local, 360)</t>
  </si>
  <si>
    <t xml:space="preserve">06:00 UTC</t>
  </si>
  <si>
    <t xml:space="preserve">Result is 2026-01-01 06:00 UTC. xUnit: Passed (&lt;1 ms).</t>
  </si>
  <si>
    <t xml:space="preserve">TestCaseExecutionTests.TC27_NormalizeToUtc_AppliesBrowserOffset</t>
  </si>
  <si>
    <t xml:space="preserve">TC-28</t>
  </si>
  <si>
    <t xml:space="preserve">Controller</t>
  </si>
  <si>
    <t xml:space="preserve">State</t>
  </si>
  <si>
    <t xml:space="preserve">Delete a published program that is still running</t>
  </si>
  <si>
    <t xml:space="preserve">1. Create admin controller  2. Seed published program 10 (started 10 min ago, ends in 1 h)  3. Call Delete(10)  4. Look up program 10</t>
  </si>
  <si>
    <t xml:space="preserve">Redirect to Index; program kept</t>
  </si>
  <si>
    <t xml:space="preserve">RedirectToActionResult to Index; program 10 still exists. xUnit: Passed (2 ms).</t>
  </si>
  <si>
    <t xml:space="preserve">TestCaseExecutionTests.TC28_Delete_PublishedRunningProgram_IsBlocked</t>
  </si>
  <si>
    <t xml:space="preserve">TC-29</t>
  </si>
  <si>
    <t xml:space="preserve">Delete an unpublished program</t>
  </si>
  <si>
    <t xml:space="preserve">1. Create admin controller  2. Seed unpublished program 10  3. Call Delete(10)  4. Look up program 10</t>
  </si>
  <si>
    <t xml:space="preserve">Redirect to Index; program deleted</t>
  </si>
  <si>
    <t xml:space="preserve">RedirectToActionResult to Index; program 10 deleted. xUnit: Passed (2 ms).</t>
  </si>
  <si>
    <t xml:space="preserve">TestCaseExecutionTests.TC29_Delete_UnpublishedProgram_IsDeleted</t>
  </si>
  <si>
    <t xml:space="preserve">TC-30</t>
  </si>
  <si>
    <t xml:space="preserve">Edit with route id 9 and model id 10</t>
  </si>
  <si>
    <t xml:space="preserve">1. Create admin controller  2. Build model with Id = 10  3. Call Edit(9, model)</t>
  </si>
  <si>
    <t xml:space="preserve">NotFound result</t>
  </si>
  <si>
    <t xml:space="preserve">NotFoundResult returned. xUnit: Passed (1 ms).</t>
  </si>
  <si>
    <t xml:space="preserve">TestCaseExecutionTests.TC30_Edit_MismatchedIds_ReturnsNotFound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</si>
</sst>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D3" activeCellId="0" sqref="D3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58"/>
    <col collapsed="false" customWidth="true" hidden="false" outlineLevel="0" max="6" min="6" style="1" width="42"/>
    <col collapsed="false" customWidth="true" hidden="false" outlineLevel="0" max="7" min="7" style="1" width="46"/>
    <col collapsed="false" customWidth="true" hidden="false" outlineLevel="0" max="8" min="8" style="1" width="9"/>
    <col collapsed="false" customWidth="true" hidden="false" outlineLevel="0" max="9" min="9" style="1" width="6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4" t="n">
        <f aca="false">COUNTA(A5:A34)</f>
        <v>30</v>
      </c>
      <c r="C2" s="3" t="s">
        <v>2</v>
      </c>
      <c r="D2" s="4" t="n">
        <f aca="false">COUNTIF(H5:H34,"Pass")</f>
        <v>30</v>
      </c>
      <c r="E2" s="3" t="s">
        <v>3</v>
      </c>
      <c r="F2" s="4" t="n">
        <f aca="false">COUNTIF(H5:H34,"Fail")</f>
        <v>0</v>
      </c>
    </row>
    <row r="4" customFormat="false" ht="19.5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</row>
    <row r="5" customFormat="false" ht="45" hidden="false" customHeight="true" outlineLevel="0" collapsed="false">
      <c r="A5" s="6" t="s">
        <v>13</v>
      </c>
      <c r="B5" s="6" t="s">
        <v>14</v>
      </c>
      <c r="C5" s="6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8" t="s">
        <v>2</v>
      </c>
      <c r="I5" s="7" t="s">
        <v>20</v>
      </c>
    </row>
    <row r="6" customFormat="false" ht="45" hidden="false" customHeight="true" outlineLevel="0" collapsed="false">
      <c r="A6" s="6" t="s">
        <v>21</v>
      </c>
      <c r="B6" s="6" t="s">
        <v>14</v>
      </c>
      <c r="C6" s="6" t="s">
        <v>22</v>
      </c>
      <c r="D6" s="7" t="s">
        <v>23</v>
      </c>
      <c r="E6" s="7" t="s">
        <v>24</v>
      </c>
      <c r="F6" s="7" t="s">
        <v>25</v>
      </c>
      <c r="G6" s="7" t="s">
        <v>26</v>
      </c>
      <c r="H6" s="8" t="s">
        <v>2</v>
      </c>
      <c r="I6" s="7" t="s">
        <v>27</v>
      </c>
    </row>
    <row r="7" customFormat="false" ht="45" hidden="false" customHeight="true" outlineLevel="0" collapsed="false">
      <c r="A7" s="6" t="s">
        <v>28</v>
      </c>
      <c r="B7" s="6" t="s">
        <v>14</v>
      </c>
      <c r="C7" s="6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8" t="s">
        <v>2</v>
      </c>
      <c r="I7" s="7" t="s">
        <v>34</v>
      </c>
    </row>
    <row r="8" customFormat="false" ht="45" hidden="false" customHeight="true" outlineLevel="0" collapsed="false">
      <c r="A8" s="6" t="s">
        <v>35</v>
      </c>
      <c r="B8" s="6" t="s">
        <v>14</v>
      </c>
      <c r="C8" s="6" t="s">
        <v>29</v>
      </c>
      <c r="D8" s="7" t="s">
        <v>36</v>
      </c>
      <c r="E8" s="7" t="s">
        <v>37</v>
      </c>
      <c r="F8" s="7" t="s">
        <v>38</v>
      </c>
      <c r="G8" s="7" t="s">
        <v>39</v>
      </c>
      <c r="H8" s="8" t="s">
        <v>2</v>
      </c>
      <c r="I8" s="7" t="s">
        <v>40</v>
      </c>
    </row>
    <row r="9" customFormat="false" ht="45" hidden="false" customHeight="true" outlineLevel="0" collapsed="false">
      <c r="A9" s="6" t="s">
        <v>41</v>
      </c>
      <c r="B9" s="6" t="s">
        <v>14</v>
      </c>
      <c r="C9" s="6" t="s">
        <v>22</v>
      </c>
      <c r="D9" s="7" t="s">
        <v>42</v>
      </c>
      <c r="E9" s="7" t="s">
        <v>43</v>
      </c>
      <c r="F9" s="7" t="s">
        <v>38</v>
      </c>
      <c r="G9" s="7" t="s">
        <v>39</v>
      </c>
      <c r="H9" s="8" t="s">
        <v>2</v>
      </c>
      <c r="I9" s="7" t="s">
        <v>44</v>
      </c>
    </row>
    <row r="10" customFormat="false" ht="45" hidden="false" customHeight="true" outlineLevel="0" collapsed="false">
      <c r="A10" s="6" t="s">
        <v>45</v>
      </c>
      <c r="B10" s="6" t="s">
        <v>14</v>
      </c>
      <c r="C10" s="6" t="s">
        <v>22</v>
      </c>
      <c r="D10" s="7" t="s">
        <v>46</v>
      </c>
      <c r="E10" s="7" t="s">
        <v>47</v>
      </c>
      <c r="F10" s="7" t="s">
        <v>48</v>
      </c>
      <c r="G10" s="7" t="s">
        <v>49</v>
      </c>
      <c r="H10" s="8" t="s">
        <v>2</v>
      </c>
      <c r="I10" s="7" t="s">
        <v>50</v>
      </c>
    </row>
    <row r="11" customFormat="false" ht="45" hidden="false" customHeight="true" outlineLevel="0" collapsed="false">
      <c r="A11" s="6" t="s">
        <v>51</v>
      </c>
      <c r="B11" s="6" t="s">
        <v>14</v>
      </c>
      <c r="C11" s="6" t="s">
        <v>52</v>
      </c>
      <c r="D11" s="7" t="s">
        <v>53</v>
      </c>
      <c r="E11" s="7" t="s">
        <v>54</v>
      </c>
      <c r="F11" s="7" t="s">
        <v>55</v>
      </c>
      <c r="G11" s="7" t="s">
        <v>56</v>
      </c>
      <c r="H11" s="8" t="s">
        <v>2</v>
      </c>
      <c r="I11" s="7" t="s">
        <v>57</v>
      </c>
    </row>
    <row r="12" customFormat="false" ht="45" hidden="false" customHeight="true" outlineLevel="0" collapsed="false">
      <c r="A12" s="6" t="s">
        <v>58</v>
      </c>
      <c r="B12" s="6" t="s">
        <v>14</v>
      </c>
      <c r="C12" s="6" t="s">
        <v>22</v>
      </c>
      <c r="D12" s="7" t="s">
        <v>59</v>
      </c>
      <c r="E12" s="7" t="s">
        <v>60</v>
      </c>
      <c r="F12" s="7" t="s">
        <v>61</v>
      </c>
      <c r="G12" s="7" t="s">
        <v>62</v>
      </c>
      <c r="H12" s="8" t="s">
        <v>2</v>
      </c>
      <c r="I12" s="7" t="s">
        <v>63</v>
      </c>
    </row>
    <row r="13" customFormat="false" ht="45" hidden="false" customHeight="true" outlineLevel="0" collapsed="false">
      <c r="A13" s="6" t="s">
        <v>64</v>
      </c>
      <c r="B13" s="6" t="s">
        <v>14</v>
      </c>
      <c r="C13" s="6" t="s">
        <v>15</v>
      </c>
      <c r="D13" s="7" t="s">
        <v>65</v>
      </c>
      <c r="E13" s="7" t="s">
        <v>66</v>
      </c>
      <c r="F13" s="7" t="s">
        <v>67</v>
      </c>
      <c r="G13" s="7" t="s">
        <v>68</v>
      </c>
      <c r="H13" s="8" t="s">
        <v>2</v>
      </c>
      <c r="I13" s="7" t="s">
        <v>69</v>
      </c>
    </row>
    <row r="14" customFormat="false" ht="45" hidden="false" customHeight="true" outlineLevel="0" collapsed="false">
      <c r="A14" s="6" t="s">
        <v>70</v>
      </c>
      <c r="B14" s="6" t="s">
        <v>14</v>
      </c>
      <c r="C14" s="6" t="s">
        <v>22</v>
      </c>
      <c r="D14" s="7" t="s">
        <v>71</v>
      </c>
      <c r="E14" s="7" t="s">
        <v>72</v>
      </c>
      <c r="F14" s="7" t="s">
        <v>73</v>
      </c>
      <c r="G14" s="7" t="s">
        <v>74</v>
      </c>
      <c r="H14" s="8" t="s">
        <v>2</v>
      </c>
      <c r="I14" s="7" t="s">
        <v>75</v>
      </c>
    </row>
    <row r="15" customFormat="false" ht="45" hidden="false" customHeight="true" outlineLevel="0" collapsed="false">
      <c r="A15" s="6" t="s">
        <v>76</v>
      </c>
      <c r="B15" s="6" t="s">
        <v>14</v>
      </c>
      <c r="C15" s="6" t="s">
        <v>52</v>
      </c>
      <c r="D15" s="7" t="s">
        <v>77</v>
      </c>
      <c r="E15" s="7" t="s">
        <v>78</v>
      </c>
      <c r="F15" s="7" t="s">
        <v>32</v>
      </c>
      <c r="G15" s="7" t="s">
        <v>33</v>
      </c>
      <c r="H15" s="8" t="s">
        <v>2</v>
      </c>
      <c r="I15" s="7" t="s">
        <v>79</v>
      </c>
    </row>
    <row r="16" customFormat="false" ht="45" hidden="false" customHeight="true" outlineLevel="0" collapsed="false">
      <c r="A16" s="6" t="s">
        <v>80</v>
      </c>
      <c r="B16" s="6" t="s">
        <v>14</v>
      </c>
      <c r="C16" s="6" t="s">
        <v>22</v>
      </c>
      <c r="D16" s="7" t="s">
        <v>81</v>
      </c>
      <c r="E16" s="7" t="s">
        <v>82</v>
      </c>
      <c r="F16" s="7" t="s">
        <v>83</v>
      </c>
      <c r="G16" s="7" t="s">
        <v>84</v>
      </c>
      <c r="H16" s="8" t="s">
        <v>2</v>
      </c>
      <c r="I16" s="7" t="s">
        <v>85</v>
      </c>
    </row>
    <row r="17" customFormat="false" ht="45" hidden="false" customHeight="true" outlineLevel="0" collapsed="false">
      <c r="A17" s="6" t="s">
        <v>86</v>
      </c>
      <c r="B17" s="6" t="s">
        <v>87</v>
      </c>
      <c r="C17" s="6" t="s">
        <v>15</v>
      </c>
      <c r="D17" s="7" t="s">
        <v>88</v>
      </c>
      <c r="E17" s="7" t="s">
        <v>89</v>
      </c>
      <c r="F17" s="7" t="s">
        <v>90</v>
      </c>
      <c r="G17" s="7" t="s">
        <v>91</v>
      </c>
      <c r="H17" s="8" t="s">
        <v>2</v>
      </c>
      <c r="I17" s="7" t="s">
        <v>92</v>
      </c>
    </row>
    <row r="18" customFormat="false" ht="45" hidden="false" customHeight="true" outlineLevel="0" collapsed="false">
      <c r="A18" s="6" t="s">
        <v>93</v>
      </c>
      <c r="B18" s="6" t="s">
        <v>87</v>
      </c>
      <c r="C18" s="6" t="s">
        <v>22</v>
      </c>
      <c r="D18" s="7" t="s">
        <v>94</v>
      </c>
      <c r="E18" s="7" t="s">
        <v>95</v>
      </c>
      <c r="F18" s="7" t="s">
        <v>96</v>
      </c>
      <c r="G18" s="7" t="s">
        <v>97</v>
      </c>
      <c r="H18" s="8" t="s">
        <v>2</v>
      </c>
      <c r="I18" s="7" t="s">
        <v>98</v>
      </c>
    </row>
    <row r="19" customFormat="false" ht="45" hidden="false" customHeight="true" outlineLevel="0" collapsed="false">
      <c r="A19" s="6" t="s">
        <v>99</v>
      </c>
      <c r="B19" s="6" t="s">
        <v>87</v>
      </c>
      <c r="C19" s="6" t="s">
        <v>22</v>
      </c>
      <c r="D19" s="7" t="s">
        <v>100</v>
      </c>
      <c r="E19" s="7" t="s">
        <v>101</v>
      </c>
      <c r="F19" s="7" t="s">
        <v>102</v>
      </c>
      <c r="G19" s="7" t="s">
        <v>103</v>
      </c>
      <c r="H19" s="8" t="s">
        <v>2</v>
      </c>
      <c r="I19" s="7" t="s">
        <v>104</v>
      </c>
    </row>
    <row r="20" customFormat="false" ht="45" hidden="false" customHeight="true" outlineLevel="0" collapsed="false">
      <c r="A20" s="6" t="s">
        <v>105</v>
      </c>
      <c r="B20" s="6" t="s">
        <v>87</v>
      </c>
      <c r="C20" s="6" t="s">
        <v>22</v>
      </c>
      <c r="D20" s="7" t="s">
        <v>106</v>
      </c>
      <c r="E20" s="7" t="s">
        <v>107</v>
      </c>
      <c r="F20" s="7" t="s">
        <v>83</v>
      </c>
      <c r="G20" s="7" t="s">
        <v>84</v>
      </c>
      <c r="H20" s="8" t="s">
        <v>2</v>
      </c>
      <c r="I20" s="7" t="s">
        <v>108</v>
      </c>
    </row>
    <row r="21" customFormat="false" ht="45" hidden="false" customHeight="true" outlineLevel="0" collapsed="false">
      <c r="A21" s="6" t="s">
        <v>109</v>
      </c>
      <c r="B21" s="6" t="s">
        <v>87</v>
      </c>
      <c r="C21" s="6" t="s">
        <v>15</v>
      </c>
      <c r="D21" s="7" t="s">
        <v>110</v>
      </c>
      <c r="E21" s="7" t="s">
        <v>111</v>
      </c>
      <c r="F21" s="7" t="s">
        <v>112</v>
      </c>
      <c r="G21" s="7" t="s">
        <v>113</v>
      </c>
      <c r="H21" s="8" t="s">
        <v>2</v>
      </c>
      <c r="I21" s="7" t="s">
        <v>114</v>
      </c>
    </row>
    <row r="22" customFormat="false" ht="45" hidden="false" customHeight="true" outlineLevel="0" collapsed="false">
      <c r="A22" s="6" t="s">
        <v>115</v>
      </c>
      <c r="B22" s="6" t="s">
        <v>87</v>
      </c>
      <c r="C22" s="6" t="s">
        <v>15</v>
      </c>
      <c r="D22" s="7" t="s">
        <v>116</v>
      </c>
      <c r="E22" s="7" t="s">
        <v>117</v>
      </c>
      <c r="F22" s="7" t="s">
        <v>118</v>
      </c>
      <c r="G22" s="7" t="s">
        <v>119</v>
      </c>
      <c r="H22" s="8" t="s">
        <v>2</v>
      </c>
      <c r="I22" s="7" t="s">
        <v>120</v>
      </c>
    </row>
    <row r="23" customFormat="false" ht="45" hidden="false" customHeight="true" outlineLevel="0" collapsed="false">
      <c r="A23" s="6" t="s">
        <v>121</v>
      </c>
      <c r="B23" s="6" t="s">
        <v>87</v>
      </c>
      <c r="C23" s="6" t="s">
        <v>22</v>
      </c>
      <c r="D23" s="7" t="s">
        <v>122</v>
      </c>
      <c r="E23" s="7" t="s">
        <v>123</v>
      </c>
      <c r="F23" s="7" t="s">
        <v>124</v>
      </c>
      <c r="G23" s="7" t="s">
        <v>125</v>
      </c>
      <c r="H23" s="8" t="s">
        <v>2</v>
      </c>
      <c r="I23" s="7" t="s">
        <v>126</v>
      </c>
    </row>
    <row r="24" customFormat="false" ht="45" hidden="false" customHeight="true" outlineLevel="0" collapsed="false">
      <c r="A24" s="6" t="s">
        <v>127</v>
      </c>
      <c r="B24" s="6" t="s">
        <v>128</v>
      </c>
      <c r="C24" s="6" t="s">
        <v>22</v>
      </c>
      <c r="D24" s="7" t="s">
        <v>129</v>
      </c>
      <c r="E24" s="7" t="s">
        <v>130</v>
      </c>
      <c r="F24" s="7" t="s">
        <v>131</v>
      </c>
      <c r="G24" s="7" t="s">
        <v>132</v>
      </c>
      <c r="H24" s="8" t="s">
        <v>2</v>
      </c>
      <c r="I24" s="7" t="s">
        <v>133</v>
      </c>
    </row>
    <row r="25" customFormat="false" ht="45" hidden="false" customHeight="true" outlineLevel="0" collapsed="false">
      <c r="A25" s="6" t="s">
        <v>134</v>
      </c>
      <c r="B25" s="6" t="s">
        <v>128</v>
      </c>
      <c r="C25" s="6" t="s">
        <v>15</v>
      </c>
      <c r="D25" s="7" t="s">
        <v>135</v>
      </c>
      <c r="E25" s="7" t="s">
        <v>136</v>
      </c>
      <c r="F25" s="7" t="s">
        <v>137</v>
      </c>
      <c r="G25" s="7" t="s">
        <v>138</v>
      </c>
      <c r="H25" s="8" t="s">
        <v>2</v>
      </c>
      <c r="I25" s="7" t="s">
        <v>139</v>
      </c>
    </row>
    <row r="26" customFormat="false" ht="45" hidden="false" customHeight="true" outlineLevel="0" collapsed="false">
      <c r="A26" s="6" t="s">
        <v>140</v>
      </c>
      <c r="B26" s="6" t="s">
        <v>128</v>
      </c>
      <c r="C26" s="6" t="s">
        <v>52</v>
      </c>
      <c r="D26" s="7" t="s">
        <v>141</v>
      </c>
      <c r="E26" s="7" t="s">
        <v>142</v>
      </c>
      <c r="F26" s="7" t="s">
        <v>143</v>
      </c>
      <c r="G26" s="7" t="s">
        <v>144</v>
      </c>
      <c r="H26" s="8" t="s">
        <v>2</v>
      </c>
      <c r="I26" s="7" t="s">
        <v>145</v>
      </c>
    </row>
    <row r="27" customFormat="false" ht="45" hidden="false" customHeight="true" outlineLevel="0" collapsed="false">
      <c r="A27" s="6" t="s">
        <v>146</v>
      </c>
      <c r="B27" s="6" t="s">
        <v>147</v>
      </c>
      <c r="C27" s="6" t="s">
        <v>29</v>
      </c>
      <c r="D27" s="7" t="s">
        <v>148</v>
      </c>
      <c r="E27" s="7" t="s">
        <v>149</v>
      </c>
      <c r="F27" s="7" t="s">
        <v>150</v>
      </c>
      <c r="G27" s="7" t="s">
        <v>151</v>
      </c>
      <c r="H27" s="8" t="s">
        <v>2</v>
      </c>
      <c r="I27" s="7" t="s">
        <v>152</v>
      </c>
    </row>
    <row r="28" customFormat="false" ht="45" hidden="false" customHeight="true" outlineLevel="0" collapsed="false">
      <c r="A28" s="6" t="s">
        <v>153</v>
      </c>
      <c r="B28" s="6" t="s">
        <v>147</v>
      </c>
      <c r="C28" s="6" t="s">
        <v>29</v>
      </c>
      <c r="D28" s="7" t="s">
        <v>154</v>
      </c>
      <c r="E28" s="7" t="s">
        <v>155</v>
      </c>
      <c r="F28" s="7" t="s">
        <v>156</v>
      </c>
      <c r="G28" s="7" t="s">
        <v>157</v>
      </c>
      <c r="H28" s="8" t="s">
        <v>2</v>
      </c>
      <c r="I28" s="7" t="s">
        <v>158</v>
      </c>
    </row>
    <row r="29" customFormat="false" ht="45" hidden="false" customHeight="true" outlineLevel="0" collapsed="false">
      <c r="A29" s="6" t="s">
        <v>159</v>
      </c>
      <c r="B29" s="6" t="s">
        <v>147</v>
      </c>
      <c r="C29" s="6" t="s">
        <v>52</v>
      </c>
      <c r="D29" s="7" t="s">
        <v>160</v>
      </c>
      <c r="E29" s="7" t="s">
        <v>161</v>
      </c>
      <c r="F29" s="7" t="s">
        <v>156</v>
      </c>
      <c r="G29" s="7" t="s">
        <v>157</v>
      </c>
      <c r="H29" s="8" t="s">
        <v>2</v>
      </c>
      <c r="I29" s="7" t="s">
        <v>162</v>
      </c>
    </row>
    <row r="30" customFormat="false" ht="45" hidden="false" customHeight="true" outlineLevel="0" collapsed="false">
      <c r="A30" s="6" t="s">
        <v>163</v>
      </c>
      <c r="B30" s="6" t="s">
        <v>147</v>
      </c>
      <c r="C30" s="6" t="s">
        <v>29</v>
      </c>
      <c r="D30" s="7" t="s">
        <v>164</v>
      </c>
      <c r="E30" s="7" t="s">
        <v>165</v>
      </c>
      <c r="F30" s="7" t="s">
        <v>166</v>
      </c>
      <c r="G30" s="7" t="s">
        <v>167</v>
      </c>
      <c r="H30" s="8" t="s">
        <v>2</v>
      </c>
      <c r="I30" s="7" t="s">
        <v>168</v>
      </c>
    </row>
    <row r="31" customFormat="false" ht="45" hidden="false" customHeight="true" outlineLevel="0" collapsed="false">
      <c r="A31" s="6" t="s">
        <v>169</v>
      </c>
      <c r="B31" s="6" t="s">
        <v>170</v>
      </c>
      <c r="C31" s="6" t="s">
        <v>52</v>
      </c>
      <c r="D31" s="7" t="s">
        <v>171</v>
      </c>
      <c r="E31" s="7" t="s">
        <v>172</v>
      </c>
      <c r="F31" s="7" t="s">
        <v>173</v>
      </c>
      <c r="G31" s="7" t="s">
        <v>174</v>
      </c>
      <c r="H31" s="8" t="s">
        <v>2</v>
      </c>
      <c r="I31" s="7" t="s">
        <v>175</v>
      </c>
    </row>
    <row r="32" customFormat="false" ht="45" hidden="false" customHeight="true" outlineLevel="0" collapsed="false">
      <c r="A32" s="6" t="s">
        <v>176</v>
      </c>
      <c r="B32" s="6" t="s">
        <v>177</v>
      </c>
      <c r="C32" s="6" t="s">
        <v>178</v>
      </c>
      <c r="D32" s="7" t="s">
        <v>179</v>
      </c>
      <c r="E32" s="7" t="s">
        <v>180</v>
      </c>
      <c r="F32" s="7" t="s">
        <v>181</v>
      </c>
      <c r="G32" s="7" t="s">
        <v>182</v>
      </c>
      <c r="H32" s="8" t="s">
        <v>2</v>
      </c>
      <c r="I32" s="7" t="s">
        <v>183</v>
      </c>
    </row>
    <row r="33" customFormat="false" ht="45" hidden="false" customHeight="true" outlineLevel="0" collapsed="false">
      <c r="A33" s="6" t="s">
        <v>184</v>
      </c>
      <c r="B33" s="6" t="s">
        <v>177</v>
      </c>
      <c r="C33" s="6" t="s">
        <v>178</v>
      </c>
      <c r="D33" s="7" t="s">
        <v>185</v>
      </c>
      <c r="E33" s="7" t="s">
        <v>186</v>
      </c>
      <c r="F33" s="7" t="s">
        <v>187</v>
      </c>
      <c r="G33" s="7" t="s">
        <v>188</v>
      </c>
      <c r="H33" s="8" t="s">
        <v>2</v>
      </c>
      <c r="I33" s="7" t="s">
        <v>189</v>
      </c>
    </row>
    <row r="34" customFormat="false" ht="45" hidden="false" customHeight="true" outlineLevel="0" collapsed="false">
      <c r="A34" s="6" t="s">
        <v>190</v>
      </c>
      <c r="B34" s="6" t="s">
        <v>177</v>
      </c>
      <c r="C34" s="6" t="s">
        <v>22</v>
      </c>
      <c r="D34" s="7" t="s">
        <v>191</v>
      </c>
      <c r="E34" s="7" t="s">
        <v>192</v>
      </c>
      <c r="F34" s="7" t="s">
        <v>193</v>
      </c>
      <c r="G34" s="7" t="s">
        <v>194</v>
      </c>
      <c r="H34" s="8" t="s">
        <v>2</v>
      </c>
      <c r="I34" s="7" t="s">
        <v>195</v>
      </c>
    </row>
  </sheetData>
  <autoFilter ref="A4:I34"/>
  <conditionalFormatting sqref="G2:G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conditionalFormatting sqref="H5:H34">
    <cfRule type="cellIs" priority="4" operator="equal" aboveAverage="0" equalAverage="0" bottom="0" percent="0" rank="0" text="" dxfId="7">
      <formula>"Pass"</formula>
    </cfRule>
    <cfRule type="cellIs" priority="5" operator="equal" aboveAverage="0" equalAverage="0" bottom="0" percent="0" rank="0" text="" dxfId="8">
      <formula>"Fail"</formula>
    </cfRule>
  </conditionalFormatting>
  <dataValidations count="1">
    <dataValidation allowBlank="false" errorStyle="stop" operator="between" showDropDown="false" showErrorMessage="false" showInputMessage="false" sqref="H5:H34" type="list">
      <formula1>"Pass,Fail,Not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2026-10-08T15:30:06Z</dcterms:created>
  <dc:creator>openpyxl</dc:creator>
  <dc:description/>
  <dc:language>en-US</dc:language>
  <cp:lastModifiedBy/>
  <dcterms:modified xsi:type="dcterms:W3CDTF">2026-10-13T21:04:29Z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