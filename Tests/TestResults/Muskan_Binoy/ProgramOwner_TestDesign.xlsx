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  <sheet name="TestCases" sheetId="2" state="visible" r:id="rId2"/>
    <sheet name="BVA" sheetId="3" state="visible" r:id="rId3"/>
    <sheet name="ECT" sheetId="4" state="visible" r:id="rId4"/>
    <sheet name="BasisPath" sheetId="5" state="visible" r:id="rId5"/>
    <sheet name="Defects" sheetId="6" state="visible" r:id="rId6"/>
    <sheet name="Selenium" sheetId="7" state="visible" r:id="rId7"/>
  </sheets>
  <definedNames>
    <definedName name="_xlnm._FilterDatabase" localSheetId="1" hidden="1">'TestCases'!$A$3:$O$63</definedName>
    <definedName name="_xlnm._FilterDatabase" localSheetId="5" hidden="1">'Defects'!$A$3:$M$35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color rgb="FF0000FF"/>
      <sz val="10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3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10" min="1" max="1"/>
    <col width="12" customWidth="1" style="10" min="2" max="2"/>
    <col width="10" customWidth="1" style="10" min="3" max="5"/>
    <col width="24" customWidth="1" style="10" min="6" max="6"/>
    <col width="10" customWidth="1" style="10" min="7" max="8"/>
  </cols>
  <sheetData>
    <row r="1" ht="17.35" customHeight="1" s="11">
      <c r="A1" s="12" t="inlineStr">
        <is>
          <t>ProgramOwnerController — STQAL test deliverables</t>
        </is>
      </c>
    </row>
    <row r="3" ht="15" customHeight="1" s="11">
      <c r="A3" s="13" t="inlineStr">
        <is>
          <t>Test cases</t>
        </is>
      </c>
    </row>
    <row r="4" ht="15" customHeight="1" s="11">
      <c r="A4" s="14" t="inlineStr">
        <is>
          <t>Technique</t>
        </is>
      </c>
      <c r="B4" s="14" t="inlineStr">
        <is>
          <t>Cases</t>
        </is>
      </c>
      <c r="C4" s="14" t="inlineStr">
        <is>
          <t>Pass</t>
        </is>
      </c>
      <c r="D4" s="14" t="inlineStr">
        <is>
          <t>Fail</t>
        </is>
      </c>
      <c r="E4" s="14" t="inlineStr">
        <is>
          <t>Blocked</t>
        </is>
      </c>
      <c r="F4" s="14" t="inlineStr">
        <is>
          <t>Not run</t>
        </is>
      </c>
    </row>
    <row r="5" ht="15" customHeight="1" s="11">
      <c r="A5" s="21" t="inlineStr">
        <is>
          <t>BVA</t>
        </is>
      </c>
      <c r="B5" s="21">
        <f>COUNTIF(TestCases!$C$4:$C$63,A5)</f>
        <v/>
      </c>
      <c r="C5" s="21">
        <f>COUNTIFS(TestCases!$C$4:$C$63,A5,TestCases!$M$4:$M$63,"Pass")</f>
        <v/>
      </c>
      <c r="D5" s="21">
        <f>COUNTIFS(TestCases!$C$4:$C$63,A5,TestCases!$M$4:$M$63,"Fail")</f>
        <v/>
      </c>
      <c r="E5" s="21">
        <f>COUNTIFS(TestCases!$C$4:$C$63,A5,TestCases!$M$4:$M$63,"Blocked")</f>
        <v/>
      </c>
      <c r="F5" s="21">
        <f>COUNTIFS(TestCases!$C$4:$C$63,A5,TestCases!$M$4:$M$63,"Not run")</f>
        <v/>
      </c>
    </row>
    <row r="6" ht="15" customHeight="1" s="11">
      <c r="A6" s="21" t="inlineStr">
        <is>
          <t>ECT</t>
        </is>
      </c>
      <c r="B6" s="21">
        <f>COUNTIF(TestCases!$C$4:$C$63,A6)</f>
        <v/>
      </c>
      <c r="C6" s="21">
        <f>COUNTIFS(TestCases!$C$4:$C$63,A6,TestCases!$M$4:$M$63,"Pass")</f>
        <v/>
      </c>
      <c r="D6" s="21">
        <f>COUNTIFS(TestCases!$C$4:$C$63,A6,TestCases!$M$4:$M$63,"Fail")</f>
        <v/>
      </c>
      <c r="E6" s="21">
        <f>COUNTIFS(TestCases!$C$4:$C$63,A6,TestCases!$M$4:$M$63,"Blocked")</f>
        <v/>
      </c>
      <c r="F6" s="21">
        <f>COUNTIFS(TestCases!$C$4:$C$63,A6,TestCases!$M$4:$M$63,"Not run")</f>
        <v/>
      </c>
    </row>
    <row r="7" ht="15" customHeight="1" s="11">
      <c r="A7" s="21" t="inlineStr">
        <is>
          <t>Basis path</t>
        </is>
      </c>
      <c r="B7" s="21">
        <f>COUNTIF(TestCases!$C$4:$C$63,A7)</f>
        <v/>
      </c>
      <c r="C7" s="21">
        <f>COUNTIFS(TestCases!$C$4:$C$63,A7,TestCases!$M$4:$M$63,"Pass")</f>
        <v/>
      </c>
      <c r="D7" s="21">
        <f>COUNTIFS(TestCases!$C$4:$C$63,A7,TestCases!$M$4:$M$63,"Fail")</f>
        <v/>
      </c>
      <c r="E7" s="21">
        <f>COUNTIFS(TestCases!$C$4:$C$63,A7,TestCases!$M$4:$M$63,"Blocked")</f>
        <v/>
      </c>
      <c r="F7" s="21">
        <f>COUNTIFS(TestCases!$C$4:$C$63,A7,TestCases!$M$4:$M$63,"Not run")</f>
        <v/>
      </c>
    </row>
    <row r="8" ht="15" customHeight="1" s="11">
      <c r="A8" s="16" t="inlineStr">
        <is>
          <t>Total</t>
        </is>
      </c>
      <c r="B8" s="16">
        <f>SUM(B5:B7)</f>
        <v/>
      </c>
      <c r="C8" s="16">
        <f>SUM(C5:C7)</f>
        <v/>
      </c>
      <c r="D8" s="16">
        <f>SUM(D5:D7)</f>
        <v/>
      </c>
      <c r="E8" s="16">
        <f>SUM(E5:E7)</f>
        <v/>
      </c>
      <c r="F8" s="16">
        <f>SUM(F5:F7)</f>
        <v/>
      </c>
    </row>
    <row r="10" ht="15" customHeight="1" s="11">
      <c r="A10" s="13" t="inlineStr">
        <is>
          <t>Defects by severity</t>
        </is>
      </c>
    </row>
    <row r="11" ht="15" customHeight="1" s="11">
      <c r="A11" s="14" t="inlineStr">
        <is>
          <t>Severity</t>
        </is>
      </c>
      <c r="B11" s="14" t="inlineStr">
        <is>
          <t>Count</t>
        </is>
      </c>
    </row>
    <row r="12" ht="15" customHeight="1" s="11">
      <c r="A12" s="21" t="inlineStr">
        <is>
          <t>Critical</t>
        </is>
      </c>
      <c r="B12" s="21">
        <f>COUNTIF(Defects!$C$4:$C$37,A12)</f>
        <v/>
      </c>
    </row>
    <row r="13" ht="15" customHeight="1" s="11">
      <c r="A13" s="21" t="inlineStr">
        <is>
          <t>High</t>
        </is>
      </c>
      <c r="B13" s="21">
        <f>COUNTIF(Defects!$C$4:$C$37,A13)</f>
        <v/>
      </c>
    </row>
    <row r="14" ht="15" customHeight="1" s="11">
      <c r="A14" s="21" t="inlineStr">
        <is>
          <t>Medium</t>
        </is>
      </c>
      <c r="B14" s="21">
        <f>COUNTIF(Defects!$C$4:$C$37,A14)</f>
        <v/>
      </c>
    </row>
    <row r="15" ht="15" customHeight="1" s="11">
      <c r="A15" s="21" t="inlineStr">
        <is>
          <t>Low</t>
        </is>
      </c>
      <c r="B15" s="21">
        <f>COUNTIF(Defects!$C$4:$C$37,A15)</f>
        <v/>
      </c>
    </row>
    <row r="16" ht="15" customHeight="1" s="11">
      <c r="A16" s="16" t="inlineStr">
        <is>
          <t>Total</t>
        </is>
      </c>
      <c r="B16" s="16">
        <f>SUM(B12:B15)</f>
        <v/>
      </c>
    </row>
    <row r="18" ht="15" customHeight="1" s="11">
      <c r="A18" s="13" t="inlineStr">
        <is>
          <t>Basis path coverage</t>
        </is>
      </c>
    </row>
    <row r="19" ht="15" customHeight="1" s="11">
      <c r="A19" s="21" t="inlineStr">
        <is>
          <t>Functions analysed</t>
        </is>
      </c>
      <c r="B19" s="21">
        <f>COUNTA(BasisPath!A5:A14)</f>
        <v/>
      </c>
    </row>
    <row r="20" ht="15" customHeight="1" s="11">
      <c r="A20" s="21" t="inlineStr">
        <is>
          <t>Independent paths (sum of V(G))</t>
        </is>
      </c>
      <c r="B20" s="21">
        <f>BasisPath!E15</f>
        <v/>
      </c>
    </row>
    <row r="21" ht="15" customHeight="1" s="11">
      <c r="A21" s="21" t="inlineStr">
        <is>
          <t>Functions where paths listed = V(G)</t>
        </is>
      </c>
      <c r="B21" s="21">
        <f>COUNTIF(BasisPath!G5:G14,"OK")</f>
        <v/>
      </c>
    </row>
    <row r="23" ht="15" customHeight="1" s="11">
      <c r="A23" s="13" t="inlineStr">
        <is>
          <t>How to use</t>
        </is>
      </c>
    </row>
    <row r="24" ht="42" customHeight="1" s="11">
      <c r="A24" s="17" t="inlineStr">
        <is>
          <t>1. Run: dotnet test Tests/AmarTools.Voting.Tests.csproj   (all tests)   |   --filter "Category=Defect"   (defect-confirming tests only).</t>
        </is>
      </c>
    </row>
    <row r="25" ht="42" customHeight="1" s="11">
      <c r="A25" s="17" t="inlineStr">
        <is>
          <t>2. TestCases results are from the run of 2026-10-13 (nondefect-output.txt, defect-output.txt). The first run (2026-10-09) had 11 failing cases; those defects are now fixed. Re-run and update the cells if the code changes.</t>
        </is>
      </c>
    </row>
    <row r="26" ht="42" customHeight="1" s="11">
      <c r="A26" s="17" t="inlineStr">
        <is>
          <t>3. 'Predicted result' comes from reading the code, not from a test run. A predicted Fail that really fails becomes a confirmed defect: set Defects!L (Status) to Confirmed and M to Yes.</t>
        </is>
      </c>
    </row>
    <row r="27" ht="42" customHeight="1" s="11">
      <c r="A27" s="17" t="inlineStr">
        <is>
          <t>4. Test IDs of the form PO-0xx refer to the existing suite in ProgramOwnerControllerTests.cs; other names are methods in ProgramOwnerBoundaryDefectTests.cs or ProgramOwnerSeleniumFlowTests.cs.</t>
        </is>
      </c>
    </row>
    <row r="28" ht="42" customHeight="1" s="11">
      <c r="A28" s="17" t="inlineStr">
        <is>
          <t>5. Decision-point counts on BasisPath (blue) are the author's reading of the code; if the controller changes, update them and the path list.</t>
        </is>
      </c>
    </row>
    <row r="31" ht="15" customHeight="1" s="11">
      <c r="A31" s="13" t="inlineStr">
        <is>
          <t>Test runs (2026-10-13, from the output files)</t>
        </is>
      </c>
    </row>
    <row r="32" ht="15" customHeight="1" s="11">
      <c r="A32" s="14" t="inlineStr">
        <is>
          <t>Run</t>
        </is>
      </c>
      <c r="B32" s="14" t="inlineStr">
        <is>
          <t>Total</t>
        </is>
      </c>
      <c r="C32" s="14" t="inlineStr">
        <is>
          <t>Passed</t>
        </is>
      </c>
      <c r="D32" s="14" t="inlineStr">
        <is>
          <t>Failed</t>
        </is>
      </c>
      <c r="E32" s="14" t="inlineStr">
        <is>
          <t>Skipped</t>
        </is>
      </c>
      <c r="F32" s="14" t="inlineStr">
        <is>
          <t>Evidence file</t>
        </is>
      </c>
    </row>
    <row r="33" ht="15" customHeight="1" s="11">
      <c r="A33" s="21" t="inlineStr">
        <is>
          <t>Non-defect (Category!=Defect)</t>
        </is>
      </c>
      <c r="B33" s="18" t="n">
        <v>131</v>
      </c>
      <c r="C33" s="18" t="n">
        <v>123</v>
      </c>
      <c r="D33" s="18" t="n">
        <v>0</v>
      </c>
      <c r="E33" s="18" t="n">
        <v>8</v>
      </c>
      <c r="F33" s="21" t="inlineStr">
        <is>
          <t>nondefect-output.txt</t>
        </is>
      </c>
    </row>
    <row r="34" ht="15" customHeight="1" s="11">
      <c r="A34" s="21" t="inlineStr">
        <is>
          <t>Defect (Category=Defect)</t>
        </is>
      </c>
      <c r="B34" s="18" t="n">
        <v>38</v>
      </c>
      <c r="C34" s="18" t="n">
        <v>34</v>
      </c>
      <c r="D34" s="18" t="n">
        <v>0</v>
      </c>
      <c r="E34" s="18" t="n">
        <v>4</v>
      </c>
      <c r="F34" s="21" t="inlineStr">
        <is>
          <t>defect-output.txt</t>
        </is>
      </c>
    </row>
    <row r="35" ht="15" customHeight="1" s="11">
      <c r="A35" s="21" t="inlineStr">
        <is>
          <t>Selenium flows (browser run against the running app)</t>
        </is>
      </c>
      <c r="B35" s="18" t="n">
        <v>12</v>
      </c>
      <c r="C35" s="18" t="n">
        <v>12</v>
      </c>
      <c r="D35" s="18" t="n">
        <v>0</v>
      </c>
      <c r="E35" s="18" t="n">
        <v>0</v>
      </c>
      <c r="F35" s="21" t="inlineStr">
        <is>
          <t>selenium-final.trx (2026-10-13 03:06)</t>
        </is>
      </c>
    </row>
    <row r="36" ht="15" customHeight="1" s="11">
      <c r="A36" s="16" t="inlineStr">
        <is>
          <t>Combined (non-defect + defect)</t>
        </is>
      </c>
      <c r="B36" s="16">
        <f>B33+B34</f>
        <v/>
      </c>
      <c r="C36" s="16">
        <f>C33+C34</f>
        <v/>
      </c>
      <c r="D36" s="16">
        <f>D33+D34</f>
        <v/>
      </c>
      <c r="E36" s="16">
        <f>E33+E34</f>
        <v/>
      </c>
      <c r="F36" s="16" t="n"/>
    </row>
  </sheetData>
  <mergeCells count="5">
    <mergeCell ref="A26:H26"/>
    <mergeCell ref="A25:H25"/>
    <mergeCell ref="A24:H24"/>
    <mergeCell ref="A28:H28"/>
    <mergeCell ref="A27:H2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O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10" min="1" max="1"/>
    <col width="20" customWidth="1" style="10" min="2" max="2"/>
    <col width="12" customWidth="1" style="10" min="3" max="3"/>
    <col width="9" customWidth="1" style="10" min="4" max="4"/>
    <col width="28" customWidth="1" style="10" min="5" max="5"/>
    <col width="34" customWidth="1" style="10" min="6" max="6"/>
    <col width="26" customWidth="1" style="10" min="7" max="7"/>
    <col width="34" customWidth="1" style="10" min="8" max="8"/>
    <col width="14" customWidth="1" style="10" min="9" max="9"/>
    <col width="52" customWidth="1" style="10" min="10" max="10"/>
    <col width="9" customWidth="1" style="10" min="11" max="11"/>
    <col width="34" customWidth="1" style="10" min="12" max="12"/>
    <col width="11" customWidth="1" style="10" min="13" max="13"/>
    <col width="13" customWidth="1" style="10" min="14" max="15"/>
  </cols>
  <sheetData>
    <row r="1" ht="17.35" customHeight="1" s="11">
      <c r="A1" s="12" t="inlineStr">
        <is>
          <t>ProgramOwnerController — test case design and execution (60 cases)</t>
        </is>
      </c>
    </row>
    <row r="3" ht="35.05" customHeight="1" s="11">
      <c r="A3" s="14" t="inlineStr">
        <is>
          <t>TC ID</t>
        </is>
      </c>
      <c r="B3" s="14" t="inlineStr">
        <is>
          <t>Function / module</t>
        </is>
      </c>
      <c r="C3" s="14" t="inlineStr">
        <is>
          <t>Technique</t>
        </is>
      </c>
      <c r="D3" s="14" t="inlineStr">
        <is>
          <t>Priority</t>
        </is>
      </c>
      <c r="E3" s="14" t="inlineStr">
        <is>
          <t>Preconditions</t>
        </is>
      </c>
      <c r="F3" s="14" t="inlineStr">
        <is>
          <t>Test data</t>
        </is>
      </c>
      <c r="G3" s="14" t="inlineStr">
        <is>
          <t>Steps</t>
        </is>
      </c>
      <c r="H3" s="14" t="inlineStr">
        <is>
          <t>Expected result</t>
        </is>
      </c>
      <c r="I3" s="14" t="inlineStr">
        <is>
          <t>Predicted result (code reading)</t>
        </is>
      </c>
      <c r="J3" s="14" t="inlineStr">
        <is>
          <t>Automated test</t>
        </is>
      </c>
      <c r="K3" s="14" t="inlineStr">
        <is>
          <t>Defect ID</t>
        </is>
      </c>
      <c r="L3" s="14" t="inlineStr">
        <is>
          <t>Actual result</t>
        </is>
      </c>
      <c r="M3" s="14" t="inlineStr">
        <is>
          <t>Status</t>
        </is>
      </c>
      <c r="N3" s="14" t="inlineStr">
        <is>
          <t>Executed on</t>
        </is>
      </c>
      <c r="O3" s="14" t="inlineStr">
        <is>
          <t>Executed by</t>
        </is>
      </c>
    </row>
    <row r="4" ht="23.85" customHeight="1" s="11">
      <c r="A4" s="21" t="inlineStr">
        <is>
          <t>BVA-01</t>
        </is>
      </c>
      <c r="B4" s="21" t="inlineStr">
        <is>
          <t>Create/Edit (service)</t>
        </is>
      </c>
      <c r="C4" s="21" t="inlineStr">
        <is>
          <t>BVA</t>
        </is>
      </c>
      <c r="D4" s="21" t="inlineStr">
        <is>
          <t>High</t>
        </is>
      </c>
      <c r="E4" s="21" t="inlineStr">
        <is>
          <t>Logged in as owner</t>
        </is>
      </c>
      <c r="F4" s="21" t="inlineStr">
        <is>
          <t>Start +1h, End = Start + 299 s</t>
        </is>
      </c>
      <c r="G4" s="21" t="inlineStr">
        <is>
          <t>Submit create form</t>
        </is>
      </c>
      <c r="H4" s="21" t="inlineStr">
        <is>
          <t>Rejected: end must be at least 5 minutes after start</t>
        </is>
      </c>
      <c r="I4" s="21" t="inlineStr">
        <is>
          <t>Pass</t>
        </is>
      </c>
      <c r="J4" s="21" t="inlineStr">
        <is>
          <t>ProgramDuration_AtBoundary_IsEnforced(299,false)</t>
        </is>
      </c>
      <c r="K4" s="21" t="n"/>
      <c r="L4" s="22" t="inlineStr">
        <is>
          <t>As expected; test passed.</t>
        </is>
      </c>
      <c r="M4" s="22" t="inlineStr">
        <is>
          <t>Pass</t>
        </is>
      </c>
      <c r="N4" s="22" t="inlineStr">
        <is>
          <t>2026-10-13</t>
        </is>
      </c>
      <c r="O4" s="22" t="inlineStr">
        <is>
          <t>Binoy Dev</t>
        </is>
      </c>
    </row>
    <row r="5" ht="15" customHeight="1" s="11">
      <c r="A5" s="21" t="inlineStr">
        <is>
          <t>BVA-02</t>
        </is>
      </c>
      <c r="B5" s="21" t="inlineStr">
        <is>
          <t>Create/Edit (service)</t>
        </is>
      </c>
      <c r="C5" s="21" t="inlineStr">
        <is>
          <t>BVA</t>
        </is>
      </c>
      <c r="D5" s="21" t="inlineStr">
        <is>
          <t>High</t>
        </is>
      </c>
      <c r="E5" s="21" t="inlineStr">
        <is>
          <t>Logged in as owner</t>
        </is>
      </c>
      <c r="F5" s="21" t="inlineStr">
        <is>
          <t>End = Start + 300 s</t>
        </is>
      </c>
      <c r="G5" s="21" t="inlineStr">
        <is>
          <t>Submit create form</t>
        </is>
      </c>
      <c r="H5" s="21" t="inlineStr">
        <is>
          <t>Accepted</t>
        </is>
      </c>
      <c r="I5" s="21" t="inlineStr">
        <is>
          <t>Pass</t>
        </is>
      </c>
      <c r="J5" s="21" t="inlineStr">
        <is>
          <t>ProgramDuration_AtBoundary_IsEnforced(300,true)</t>
        </is>
      </c>
      <c r="K5" s="21" t="n"/>
      <c r="L5" s="22" t="inlineStr">
        <is>
          <t>As expected; test passed.</t>
        </is>
      </c>
      <c r="M5" s="22" t="inlineStr">
        <is>
          <t>Pass</t>
        </is>
      </c>
      <c r="N5" s="22" t="inlineStr">
        <is>
          <t>2026-10-13</t>
        </is>
      </c>
      <c r="O5" s="22" t="inlineStr">
        <is>
          <t>Binoy Dev</t>
        </is>
      </c>
    </row>
    <row r="6" ht="15" customHeight="1" s="11">
      <c r="A6" s="21" t="inlineStr">
        <is>
          <t>BVA-03</t>
        </is>
      </c>
      <c r="B6" s="21" t="inlineStr">
        <is>
          <t>Create/Edit (service)</t>
        </is>
      </c>
      <c r="C6" s="21" t="inlineStr">
        <is>
          <t>BVA</t>
        </is>
      </c>
      <c r="D6" s="21" t="inlineStr">
        <is>
          <t>Medium</t>
        </is>
      </c>
      <c r="E6" s="21" t="inlineStr">
        <is>
          <t>Logged in as owner</t>
        </is>
      </c>
      <c r="F6" s="21" t="inlineStr">
        <is>
          <t>End = Start + 301 s</t>
        </is>
      </c>
      <c r="G6" s="21" t="inlineStr">
        <is>
          <t>Submit create form</t>
        </is>
      </c>
      <c r="H6" s="21" t="inlineStr">
        <is>
          <t>Accepted</t>
        </is>
      </c>
      <c r="I6" s="21" t="inlineStr">
        <is>
          <t>Pass</t>
        </is>
      </c>
      <c r="J6" s="21" t="inlineStr">
        <is>
          <t>ProgramDuration_AtBoundary_IsEnforced(301,true)</t>
        </is>
      </c>
      <c r="K6" s="21" t="n"/>
      <c r="L6" s="22" t="inlineStr">
        <is>
          <t>As expected; test passed.</t>
        </is>
      </c>
      <c r="M6" s="22" t="inlineStr">
        <is>
          <t>Pass</t>
        </is>
      </c>
      <c r="N6" s="22" t="inlineStr">
        <is>
          <t>2026-10-13</t>
        </is>
      </c>
      <c r="O6" s="22" t="inlineStr">
        <is>
          <t>Binoy Dev</t>
        </is>
      </c>
    </row>
    <row r="7" ht="15" customHeight="1" s="11">
      <c r="A7" s="21" t="inlineStr">
        <is>
          <t>BVA-04</t>
        </is>
      </c>
      <c r="B7" s="21" t="inlineStr">
        <is>
          <t>Create POST</t>
        </is>
      </c>
      <c r="C7" s="21" t="inlineStr">
        <is>
          <t>BVA</t>
        </is>
      </c>
      <c r="D7" s="21" t="inlineStr">
        <is>
          <t>Medium</t>
        </is>
      </c>
      <c r="E7" s="21" t="inlineStr">
        <is>
          <t>Model validation</t>
        </is>
      </c>
      <c r="F7" s="21" t="inlineStr">
        <is>
          <t>ProgramName length 2</t>
        </is>
      </c>
      <c r="G7" s="21" t="inlineStr">
        <is>
          <t>Validate model</t>
        </is>
      </c>
      <c r="H7" s="21" t="inlineStr">
        <is>
          <t>Validation error (min 3)</t>
        </is>
      </c>
      <c r="I7" s="21" t="inlineStr">
        <is>
          <t>Pass</t>
        </is>
      </c>
      <c r="J7" s="21" t="inlineStr">
        <is>
          <t>ProgramName_LengthBoundary_MatchesModelRule(2,false)</t>
        </is>
      </c>
      <c r="K7" s="21" t="n"/>
      <c r="L7" s="22" t="inlineStr">
        <is>
          <t>As expected; test passed.</t>
        </is>
      </c>
      <c r="M7" s="22" t="inlineStr">
        <is>
          <t>Pass</t>
        </is>
      </c>
      <c r="N7" s="22" t="inlineStr">
        <is>
          <t>2026-10-13</t>
        </is>
      </c>
      <c r="O7" s="22" t="inlineStr">
        <is>
          <t>Binoy Dev</t>
        </is>
      </c>
    </row>
    <row r="8" ht="15" customHeight="1" s="11">
      <c r="A8" s="21" t="inlineStr">
        <is>
          <t>BVA-05</t>
        </is>
      </c>
      <c r="B8" s="21" t="inlineStr">
        <is>
          <t>Create POST</t>
        </is>
      </c>
      <c r="C8" s="21" t="inlineStr">
        <is>
          <t>BVA</t>
        </is>
      </c>
      <c r="D8" s="21" t="inlineStr">
        <is>
          <t>Medium</t>
        </is>
      </c>
      <c r="E8" s="21" t="inlineStr">
        <is>
          <t>Model validation</t>
        </is>
      </c>
      <c r="F8" s="21" t="inlineStr">
        <is>
          <t>ProgramName length 3</t>
        </is>
      </c>
      <c r="G8" s="21" t="inlineStr">
        <is>
          <t>Validate model</t>
        </is>
      </c>
      <c r="H8" s="21" t="inlineStr">
        <is>
          <t>Valid</t>
        </is>
      </c>
      <c r="I8" s="21" t="inlineStr">
        <is>
          <t>Pass</t>
        </is>
      </c>
      <c r="J8" s="21" t="inlineStr">
        <is>
          <t>ProgramName_LengthBoundary_MatchesModelRule(3,true)</t>
        </is>
      </c>
      <c r="K8" s="21" t="n"/>
      <c r="L8" s="22" t="inlineStr">
        <is>
          <t>As expected; test passed.</t>
        </is>
      </c>
      <c r="M8" s="22" t="inlineStr">
        <is>
          <t>Pass</t>
        </is>
      </c>
      <c r="N8" s="22" t="inlineStr">
        <is>
          <t>2026-10-13</t>
        </is>
      </c>
      <c r="O8" s="22" t="inlineStr">
        <is>
          <t>Binoy Dev</t>
        </is>
      </c>
    </row>
    <row r="9" ht="15" customHeight="1" s="11">
      <c r="A9" s="21" t="inlineStr">
        <is>
          <t>BVA-06</t>
        </is>
      </c>
      <c r="B9" s="21" t="inlineStr">
        <is>
          <t>Create POST</t>
        </is>
      </c>
      <c r="C9" s="21" t="inlineStr">
        <is>
          <t>BVA</t>
        </is>
      </c>
      <c r="D9" s="21" t="inlineStr">
        <is>
          <t>Medium</t>
        </is>
      </c>
      <c r="E9" s="21" t="inlineStr">
        <is>
          <t>Model validation</t>
        </is>
      </c>
      <c r="F9" s="21" t="inlineStr">
        <is>
          <t>ProgramName length 200</t>
        </is>
      </c>
      <c r="G9" s="21" t="inlineStr">
        <is>
          <t>Validate model</t>
        </is>
      </c>
      <c r="H9" s="21" t="inlineStr">
        <is>
          <t>Valid</t>
        </is>
      </c>
      <c r="I9" s="21" t="inlineStr">
        <is>
          <t>Pass</t>
        </is>
      </c>
      <c r="J9" s="21" t="inlineStr">
        <is>
          <t>ProgramName_LengthBoundary_MatchesModelRule(200,true)</t>
        </is>
      </c>
      <c r="K9" s="21" t="n"/>
      <c r="L9" s="22" t="inlineStr">
        <is>
          <t>As expected; test passed.</t>
        </is>
      </c>
      <c r="M9" s="22" t="inlineStr">
        <is>
          <t>Pass</t>
        </is>
      </c>
      <c r="N9" s="22" t="inlineStr">
        <is>
          <t>2026-10-13</t>
        </is>
      </c>
      <c r="O9" s="22" t="inlineStr">
        <is>
          <t>Binoy Dev</t>
        </is>
      </c>
    </row>
    <row r="10" ht="15" customHeight="1" s="11">
      <c r="A10" s="21" t="inlineStr">
        <is>
          <t>BVA-07</t>
        </is>
      </c>
      <c r="B10" s="21" t="inlineStr">
        <is>
          <t>Create POST</t>
        </is>
      </c>
      <c r="C10" s="21" t="inlineStr">
        <is>
          <t>BVA</t>
        </is>
      </c>
      <c r="D10" s="21" t="inlineStr">
        <is>
          <t>Medium</t>
        </is>
      </c>
      <c r="E10" s="21" t="inlineStr">
        <is>
          <t>Model validation</t>
        </is>
      </c>
      <c r="F10" s="21" t="inlineStr">
        <is>
          <t>ProgramName length 201</t>
        </is>
      </c>
      <c r="G10" s="21" t="inlineStr">
        <is>
          <t>Validate model</t>
        </is>
      </c>
      <c r="H10" s="21" t="inlineStr">
        <is>
          <t>Validation error (max 200)</t>
        </is>
      </c>
      <c r="I10" s="21" t="inlineStr">
        <is>
          <t>Pass</t>
        </is>
      </c>
      <c r="J10" s="21" t="inlineStr">
        <is>
          <t>ProgramName_LengthBoundary_MatchesModelRule(201,false)</t>
        </is>
      </c>
      <c r="K10" s="21" t="n"/>
      <c r="L10" s="22" t="inlineStr">
        <is>
          <t>As expected; test passed.</t>
        </is>
      </c>
      <c r="M10" s="22" t="inlineStr">
        <is>
          <t>Pass</t>
        </is>
      </c>
      <c r="N10" s="22" t="inlineStr">
        <is>
          <t>2026-10-13</t>
        </is>
      </c>
      <c r="O10" s="22" t="inlineStr">
        <is>
          <t>Binoy Dev</t>
        </is>
      </c>
    </row>
    <row r="11" ht="15" customHeight="1" s="11">
      <c r="A11" s="21" t="inlineStr">
        <is>
          <t>BVA-08</t>
        </is>
      </c>
      <c r="B11" s="21" t="inlineStr">
        <is>
          <t>Create POST</t>
        </is>
      </c>
      <c r="C11" s="21" t="inlineStr">
        <is>
          <t>BVA</t>
        </is>
      </c>
      <c r="D11" s="21" t="inlineStr">
        <is>
          <t>Low</t>
        </is>
      </c>
      <c r="E11" s="21" t="inlineStr">
        <is>
          <t>Model validation</t>
        </is>
      </c>
      <c r="F11" s="21" t="inlineStr">
        <is>
          <t>Description 2000 / 2001 chars</t>
        </is>
      </c>
      <c r="G11" s="21" t="inlineStr">
        <is>
          <t>Validate model</t>
        </is>
      </c>
      <c r="H11" s="21" t="inlineStr">
        <is>
          <t>2000 valid, 2001 error</t>
        </is>
      </c>
      <c r="I11" s="21" t="inlineStr">
        <is>
          <t>Pass</t>
        </is>
      </c>
      <c r="J11" s="21" t="inlineStr">
        <is>
          <t>ProgramDescription_LengthBoundary_MatchesModelRule</t>
        </is>
      </c>
      <c r="K11" s="21" t="n"/>
      <c r="L11" s="22" t="inlineStr">
        <is>
          <t>As expected; test passed.</t>
        </is>
      </c>
      <c r="M11" s="22" t="inlineStr">
        <is>
          <t>Pass</t>
        </is>
      </c>
      <c r="N11" s="22" t="inlineStr">
        <is>
          <t>2026-10-13</t>
        </is>
      </c>
      <c r="O11" s="22" t="inlineStr">
        <is>
          <t>Binoy Dev</t>
        </is>
      </c>
    </row>
    <row r="12" ht="23.85" customHeight="1" s="11">
      <c r="A12" s="21" t="inlineStr">
        <is>
          <t>BVA-09</t>
        </is>
      </c>
      <c r="B12" s="21" t="inlineStr">
        <is>
          <t>AddCandidate</t>
        </is>
      </c>
      <c r="C12" s="21" t="inlineStr">
        <is>
          <t>BVA</t>
        </is>
      </c>
      <c r="D12" s="21" t="inlineStr">
        <is>
          <t>Low</t>
        </is>
      </c>
      <c r="E12" s="21" t="inlineStr">
        <is>
          <t>Upcoming program, owner</t>
        </is>
      </c>
      <c r="F12" s="21" t="inlineStr">
        <is>
          <t>name = 'A' (1 char), code C1</t>
        </is>
      </c>
      <c r="G12" s="21" t="inlineStr">
        <is>
          <t>POST AddCandidate</t>
        </is>
      </c>
      <c r="H12" s="21" t="inlineStr">
        <is>
          <t>Rejected (min 2)</t>
        </is>
      </c>
      <c r="I12" s="21" t="inlineStr">
        <is>
          <t>Fail</t>
        </is>
      </c>
      <c r="J12" s="21" t="inlineStr">
        <is>
          <t>D07_AddCandidate_SingleCharacterName_IsRejected</t>
        </is>
      </c>
      <c r="K12" s="21" t="inlineStr">
        <is>
          <t>D07</t>
        </is>
      </c>
      <c r="L12" s="22" t="inlineStr">
        <is>
          <t>Rejected after the fix; defect D07 is fixed and the regression test passes.</t>
        </is>
      </c>
      <c r="M12" s="22" t="inlineStr">
        <is>
          <t>Pass</t>
        </is>
      </c>
      <c r="N12" s="22" t="inlineStr">
        <is>
          <t>2026-10-13</t>
        </is>
      </c>
      <c r="O12" s="22" t="inlineStr">
        <is>
          <t>Binoy Dev</t>
        </is>
      </c>
    </row>
    <row r="13" ht="23.85" customHeight="1" s="11">
      <c r="A13" s="21" t="inlineStr">
        <is>
          <t>BVA-10</t>
        </is>
      </c>
      <c r="B13" s="21" t="inlineStr">
        <is>
          <t>AddCandidate</t>
        </is>
      </c>
      <c r="C13" s="21" t="inlineStr">
        <is>
          <t>BVA</t>
        </is>
      </c>
      <c r="D13" s="21" t="inlineStr">
        <is>
          <t>Medium</t>
        </is>
      </c>
      <c r="E13" s="21" t="inlineStr">
        <is>
          <t>Upcoming program, owner</t>
        </is>
      </c>
      <c r="F13" s="21" t="inlineStr">
        <is>
          <t>name 2 chars, code 1 char</t>
        </is>
      </c>
      <c r="G13" s="21" t="inlineStr">
        <is>
          <t>POST AddCandidate</t>
        </is>
      </c>
      <c r="H13" s="21" t="inlineStr">
        <is>
          <t>Saved</t>
        </is>
      </c>
      <c r="I13" s="21" t="inlineStr">
        <is>
          <t>Pass</t>
        </is>
      </c>
      <c r="J13" s="21" t="inlineStr">
        <is>
          <t>AddCandidate_NameAndCodeAtUpperAndLowerValidBounds_AreSaved(2,1)</t>
        </is>
      </c>
      <c r="K13" s="21" t="n"/>
      <c r="L13" s="22" t="inlineStr">
        <is>
          <t>As expected; test passed.</t>
        </is>
      </c>
      <c r="M13" s="22" t="inlineStr">
        <is>
          <t>Pass</t>
        </is>
      </c>
      <c r="N13" s="22" t="inlineStr">
        <is>
          <t>2026-10-13</t>
        </is>
      </c>
      <c r="O13" s="22" t="inlineStr">
        <is>
          <t>Binoy Dev</t>
        </is>
      </c>
    </row>
    <row r="14" ht="23.85" customHeight="1" s="11">
      <c r="A14" s="21" t="inlineStr">
        <is>
          <t>BVA-11</t>
        </is>
      </c>
      <c r="B14" s="21" t="inlineStr">
        <is>
          <t>AddCandidate</t>
        </is>
      </c>
      <c r="C14" s="21" t="inlineStr">
        <is>
          <t>BVA</t>
        </is>
      </c>
      <c r="D14" s="21" t="inlineStr">
        <is>
          <t>Medium</t>
        </is>
      </c>
      <c r="E14" s="21" t="inlineStr">
        <is>
          <t>Upcoming program, owner</t>
        </is>
      </c>
      <c r="F14" s="21" t="inlineStr">
        <is>
          <t>name 150 chars, code 50 chars</t>
        </is>
      </c>
      <c r="G14" s="21" t="inlineStr">
        <is>
          <t>POST AddCandidate</t>
        </is>
      </c>
      <c r="H14" s="21" t="inlineStr">
        <is>
          <t>Saved</t>
        </is>
      </c>
      <c r="I14" s="21" t="inlineStr">
        <is>
          <t>Pass</t>
        </is>
      </c>
      <c r="J14" s="21" t="inlineStr">
        <is>
          <t>AddCandidate_NameAndCodeAtUpperAndLowerValidBounds_AreSaved(150,50)</t>
        </is>
      </c>
      <c r="K14" s="21" t="n"/>
      <c r="L14" s="22" t="inlineStr">
        <is>
          <t>As expected; test passed.</t>
        </is>
      </c>
      <c r="M14" s="22" t="inlineStr">
        <is>
          <t>Pass</t>
        </is>
      </c>
      <c r="N14" s="22" t="inlineStr">
        <is>
          <t>2026-10-13</t>
        </is>
      </c>
      <c r="O14" s="22" t="inlineStr">
        <is>
          <t>Binoy Dev</t>
        </is>
      </c>
    </row>
    <row r="15" ht="23.85" customHeight="1" s="11">
      <c r="A15" s="21" t="inlineStr">
        <is>
          <t>BVA-12</t>
        </is>
      </c>
      <c r="B15" s="21" t="inlineStr">
        <is>
          <t>AddCandidate</t>
        </is>
      </c>
      <c r="C15" s="21" t="inlineStr">
        <is>
          <t>BVA</t>
        </is>
      </c>
      <c r="D15" s="21" t="inlineStr">
        <is>
          <t>Low</t>
        </is>
      </c>
      <c r="E15" s="21" t="inlineStr">
        <is>
          <t>Upcoming program, owner</t>
        </is>
      </c>
      <c r="F15" s="21" t="inlineStr">
        <is>
          <t>name 151 chars</t>
        </is>
      </c>
      <c r="G15" s="21" t="inlineStr">
        <is>
          <t>POST AddCandidate</t>
        </is>
      </c>
      <c r="H15" s="21" t="inlineStr">
        <is>
          <t>Rejected with message</t>
        </is>
      </c>
      <c r="I15" s="21" t="inlineStr">
        <is>
          <t>Fail</t>
        </is>
      </c>
      <c r="J15" s="21" t="inlineStr">
        <is>
          <t>D08_..._IsRejectedWithValidationMessage("name")</t>
        </is>
      </c>
      <c r="K15" s="21" t="inlineStr">
        <is>
          <t>D08</t>
        </is>
      </c>
      <c r="L15" s="22" t="inlineStr">
        <is>
          <t>Rejected after the fix; defect D08 (name) is fixed and the regression test passes.</t>
        </is>
      </c>
      <c r="M15" s="22" t="inlineStr">
        <is>
          <t>Pass</t>
        </is>
      </c>
      <c r="N15" s="22" t="inlineStr">
        <is>
          <t>2026-10-13</t>
        </is>
      </c>
      <c r="O15" s="22" t="inlineStr">
        <is>
          <t>Binoy Dev</t>
        </is>
      </c>
    </row>
    <row r="16" ht="23.85" customHeight="1" s="11">
      <c r="A16" s="21" t="inlineStr">
        <is>
          <t>BVA-13</t>
        </is>
      </c>
      <c r="B16" s="21" t="inlineStr">
        <is>
          <t>AddCandidate</t>
        </is>
      </c>
      <c r="C16" s="21" t="inlineStr">
        <is>
          <t>BVA</t>
        </is>
      </c>
      <c r="D16" s="21" t="inlineStr">
        <is>
          <t>Low</t>
        </is>
      </c>
      <c r="E16" s="21" t="inlineStr">
        <is>
          <t>Upcoming program, owner</t>
        </is>
      </c>
      <c r="F16" s="21" t="inlineStr">
        <is>
          <t>code 51 chars</t>
        </is>
      </c>
      <c r="G16" s="21" t="inlineStr">
        <is>
          <t>POST AddCandidate</t>
        </is>
      </c>
      <c r="H16" s="21" t="inlineStr">
        <is>
          <t>Rejected with message</t>
        </is>
      </c>
      <c r="I16" s="21" t="inlineStr">
        <is>
          <t>Fail</t>
        </is>
      </c>
      <c r="J16" s="21" t="inlineStr">
        <is>
          <t>D08_..._IsRejectedWithValidationMessage("code")</t>
        </is>
      </c>
      <c r="K16" s="21" t="inlineStr">
        <is>
          <t>D08</t>
        </is>
      </c>
      <c r="L16" s="22" t="inlineStr">
        <is>
          <t>Rejected as expected. Defect D08 was fixed in commit 4896cce; this test now guards against regression.</t>
        </is>
      </c>
      <c r="M16" s="22" t="inlineStr">
        <is>
          <t>Pass</t>
        </is>
      </c>
      <c r="N16" s="22" t="inlineStr">
        <is>
          <t>2026-10-13</t>
        </is>
      </c>
      <c r="O16" s="22" t="inlineStr">
        <is>
          <t>Binoy Dev</t>
        </is>
      </c>
    </row>
    <row r="17" ht="23.85" customHeight="1" s="11">
      <c r="A17" s="21" t="inlineStr">
        <is>
          <t>BVA-14</t>
        </is>
      </c>
      <c r="B17" s="21" t="inlineStr">
        <is>
          <t>AddCandidate</t>
        </is>
      </c>
      <c r="C17" s="21" t="inlineStr">
        <is>
          <t>BVA</t>
        </is>
      </c>
      <c r="D17" s="21" t="inlineStr">
        <is>
          <t>Low</t>
        </is>
      </c>
      <c r="E17" s="21" t="inlineStr">
        <is>
          <t>Upcoming program, owner</t>
        </is>
      </c>
      <c r="F17" s="21" t="inlineStr">
        <is>
          <t>description 501 chars</t>
        </is>
      </c>
      <c r="G17" s="21" t="inlineStr">
        <is>
          <t>POST AddCandidate</t>
        </is>
      </c>
      <c r="H17" s="21" t="inlineStr">
        <is>
          <t>Rejected with message</t>
        </is>
      </c>
      <c r="I17" s="21" t="inlineStr">
        <is>
          <t>Fail</t>
        </is>
      </c>
      <c r="J17" s="21" t="inlineStr">
        <is>
          <t>D08_..._IsRejectedWithValidationMessage("description")</t>
        </is>
      </c>
      <c r="K17" s="21" t="inlineStr">
        <is>
          <t>D08</t>
        </is>
      </c>
      <c r="L17" s="22" t="inlineStr">
        <is>
          <t>Rejected as expected. Defect D08 was fixed in commit 4896cce; this test now guards against regression.</t>
        </is>
      </c>
      <c r="M17" s="22" t="inlineStr">
        <is>
          <t>Pass</t>
        </is>
      </c>
      <c r="N17" s="22" t="inlineStr">
        <is>
          <t>2026-10-13</t>
        </is>
      </c>
      <c r="O17" s="22" t="inlineStr">
        <is>
          <t>Binoy Dev</t>
        </is>
      </c>
    </row>
    <row r="18" ht="23.85" customHeight="1" s="11">
      <c r="A18" s="21" t="inlineStr">
        <is>
          <t>BVA-15</t>
        </is>
      </c>
      <c r="B18" s="21" t="inlineStr">
        <is>
          <t>AddCandidate</t>
        </is>
      </c>
      <c r="C18" s="21" t="inlineStr">
        <is>
          <t>BVA</t>
        </is>
      </c>
      <c r="D18" s="21" t="inlineStr">
        <is>
          <t>Low</t>
        </is>
      </c>
      <c r="E18" s="21" t="inlineStr">
        <is>
          <t>Upcoming program, owner</t>
        </is>
      </c>
      <c r="F18" s="21" t="inlineStr">
        <is>
          <t>imageUrl 501 chars</t>
        </is>
      </c>
      <c r="G18" s="21" t="inlineStr">
        <is>
          <t>POST AddCandidate</t>
        </is>
      </c>
      <c r="H18" s="21" t="inlineStr">
        <is>
          <t>Rejected with message</t>
        </is>
      </c>
      <c r="I18" s="21" t="inlineStr">
        <is>
          <t>Fail</t>
        </is>
      </c>
      <c r="J18" s="21" t="inlineStr">
        <is>
          <t>D08_..._IsRejectedWithValidationMessage("imageUrl")</t>
        </is>
      </c>
      <c r="K18" s="21" t="inlineStr">
        <is>
          <t>D08</t>
        </is>
      </c>
      <c r="L18" s="22" t="inlineStr">
        <is>
          <t>Rejected as expected. Defect D08 was fixed in commit 4896cce; this test now guards against regression.</t>
        </is>
      </c>
      <c r="M18" s="22" t="inlineStr">
        <is>
          <t>Pass</t>
        </is>
      </c>
      <c r="N18" s="22" t="inlineStr">
        <is>
          <t>2026-10-13</t>
        </is>
      </c>
      <c r="O18" s="22" t="inlineStr">
        <is>
          <t>Binoy Dev</t>
        </is>
      </c>
    </row>
    <row r="19" ht="15" customHeight="1" s="11">
      <c r="A19" s="21" t="inlineStr">
        <is>
          <t>BVA-16</t>
        </is>
      </c>
      <c r="B19" s="21" t="inlineStr">
        <is>
          <t>Edit GET</t>
        </is>
      </c>
      <c r="C19" s="21" t="inlineStr">
        <is>
          <t>BVA</t>
        </is>
      </c>
      <c r="D19" s="21" t="inlineStr">
        <is>
          <t>Medium</t>
        </is>
      </c>
      <c r="E19" s="21" t="inlineStr">
        <is>
          <t>No programs</t>
        </is>
      </c>
      <c r="F19" s="21" t="inlineStr">
        <is>
          <t>id = 0</t>
        </is>
      </c>
      <c r="G19" s="21" t="inlineStr">
        <is>
          <t>GET /ProgramOwner/Edit/0</t>
        </is>
      </c>
      <c r="H19" s="21" t="inlineStr">
        <is>
          <t>404 NotFound</t>
        </is>
      </c>
      <c r="I19" s="21" t="inlineStr">
        <is>
          <t>Pass</t>
        </is>
      </c>
      <c r="J19" s="21" t="inlineStr">
        <is>
          <t>EditGet_NonExistingIdBoundaries_ReturnNotFound(0)</t>
        </is>
      </c>
      <c r="K19" s="21" t="n"/>
      <c r="L19" s="22" t="inlineStr">
        <is>
          <t>As expected; test passed.</t>
        </is>
      </c>
      <c r="M19" s="22" t="inlineStr">
        <is>
          <t>Pass</t>
        </is>
      </c>
      <c r="N19" s="22" t="inlineStr">
        <is>
          <t>2026-10-13</t>
        </is>
      </c>
      <c r="O19" s="22" t="inlineStr">
        <is>
          <t>Binoy Dev</t>
        </is>
      </c>
    </row>
    <row r="20" ht="23.85" customHeight="1" s="11">
      <c r="A20" s="21" t="inlineStr">
        <is>
          <t>BVA-17</t>
        </is>
      </c>
      <c r="B20" s="21" t="inlineStr">
        <is>
          <t>Edit GET</t>
        </is>
      </c>
      <c r="C20" s="21" t="inlineStr">
        <is>
          <t>BVA</t>
        </is>
      </c>
      <c r="D20" s="21" t="inlineStr">
        <is>
          <t>Medium</t>
        </is>
      </c>
      <c r="E20" s="21" t="inlineStr">
        <is>
          <t>No programs</t>
        </is>
      </c>
      <c r="F20" s="21" t="inlineStr">
        <is>
          <t>id = -1 and int.MinValue</t>
        </is>
      </c>
      <c r="G20" s="21" t="inlineStr">
        <is>
          <t>GET Edit</t>
        </is>
      </c>
      <c r="H20" s="21" t="inlineStr">
        <is>
          <t>404 NotFound</t>
        </is>
      </c>
      <c r="I20" s="21" t="inlineStr">
        <is>
          <t>Pass</t>
        </is>
      </c>
      <c r="J20" s="21" t="inlineStr">
        <is>
          <t>EditGet_NonExistingIdBoundaries_ReturnNotFound(-1, int.MinValue)</t>
        </is>
      </c>
      <c r="K20" s="21" t="n"/>
      <c r="L20" s="22" t="inlineStr">
        <is>
          <t>As expected; test passed.</t>
        </is>
      </c>
      <c r="M20" s="22" t="inlineStr">
        <is>
          <t>Pass</t>
        </is>
      </c>
      <c r="N20" s="22" t="inlineStr">
        <is>
          <t>2026-10-13</t>
        </is>
      </c>
      <c r="O20" s="22" t="inlineStr">
        <is>
          <t>Binoy Dev</t>
        </is>
      </c>
    </row>
    <row r="21" ht="23.85" customHeight="1" s="11">
      <c r="A21" s="21" t="inlineStr">
        <is>
          <t>BVA-18</t>
        </is>
      </c>
      <c r="B21" s="21" t="inlineStr">
        <is>
          <t>Edit GET</t>
        </is>
      </c>
      <c r="C21" s="21" t="inlineStr">
        <is>
          <t>BVA</t>
        </is>
      </c>
      <c r="D21" s="21" t="inlineStr">
        <is>
          <t>Low</t>
        </is>
      </c>
      <c r="E21" s="21" t="inlineStr">
        <is>
          <t>No programs</t>
        </is>
      </c>
      <c r="F21" s="21" t="inlineStr">
        <is>
          <t>id = int.MaxValue</t>
        </is>
      </c>
      <c r="G21" s="21" t="inlineStr">
        <is>
          <t>GET Edit</t>
        </is>
      </c>
      <c r="H21" s="21" t="inlineStr">
        <is>
          <t>404 NotFound</t>
        </is>
      </c>
      <c r="I21" s="21" t="inlineStr">
        <is>
          <t>Pass</t>
        </is>
      </c>
      <c r="J21" s="21" t="inlineStr">
        <is>
          <t>EditGet_NonExistingIdBoundaries_ReturnNotFound(int.MaxValue)</t>
        </is>
      </c>
      <c r="K21" s="21" t="n"/>
      <c r="L21" s="22" t="inlineStr">
        <is>
          <t>As expected; test passed.</t>
        </is>
      </c>
      <c r="M21" s="22" t="inlineStr">
        <is>
          <t>Pass</t>
        </is>
      </c>
      <c r="N21" s="22" t="inlineStr">
        <is>
          <t>2026-10-13</t>
        </is>
      </c>
      <c r="O21" s="22" t="inlineStr">
        <is>
          <t>Binoy Dev</t>
        </is>
      </c>
    </row>
    <row r="22" ht="15" customHeight="1" s="11">
      <c r="A22" s="21" t="inlineStr">
        <is>
          <t>BVA-19</t>
        </is>
      </c>
      <c r="B22" s="21" t="inlineStr">
        <is>
          <t>ManageCandidates</t>
        </is>
      </c>
      <c r="C22" s="21" t="inlineStr">
        <is>
          <t>BVA</t>
        </is>
      </c>
      <c r="D22" s="21" t="inlineStr">
        <is>
          <t>Low</t>
        </is>
      </c>
      <c r="E22" s="21" t="inlineStr">
        <is>
          <t>Service returns null</t>
        </is>
      </c>
      <c r="F22" s="21" t="inlineStr">
        <is>
          <t>programId = 0, -1, int.MaxValue</t>
        </is>
      </c>
      <c r="G22" s="21" t="inlineStr">
        <is>
          <t>GET ManageCandidates</t>
        </is>
      </c>
      <c r="H22" s="21" t="inlineStr">
        <is>
          <t>404 NotFound</t>
        </is>
      </c>
      <c r="I22" s="21" t="inlineStr">
        <is>
          <t>Pass</t>
        </is>
      </c>
      <c r="J22" s="21" t="inlineStr">
        <is>
          <t>ManageCandidates_NonExistingIdBoundaries_ReturnNotFound</t>
        </is>
      </c>
      <c r="K22" s="21" t="n"/>
      <c r="L22" s="22" t="inlineStr">
        <is>
          <t>As expected; test passed.</t>
        </is>
      </c>
      <c r="M22" s="22" t="inlineStr">
        <is>
          <t>Pass</t>
        </is>
      </c>
      <c r="N22" s="22" t="inlineStr">
        <is>
          <t>2026-10-13</t>
        </is>
      </c>
      <c r="O22" s="22" t="inlineStr">
        <is>
          <t>Binoy Dev</t>
        </is>
      </c>
    </row>
    <row r="23" ht="23.85" customHeight="1" s="11">
      <c r="A23" s="21" t="inlineStr">
        <is>
          <t>BVA-20</t>
        </is>
      </c>
      <c r="B23" s="21" t="inlineStr">
        <is>
          <t>Delete</t>
        </is>
      </c>
      <c r="C23" s="21" t="inlineStr">
        <is>
          <t>BVA</t>
        </is>
      </c>
      <c r="D23" s="21" t="inlineStr">
        <is>
          <t>High</t>
        </is>
      </c>
      <c r="E23" s="21" t="inlineStr">
        <is>
          <t>Published program, owner</t>
        </is>
      </c>
      <c r="F23" s="21" t="inlineStr">
        <is>
          <t>EndTime = now-1 s (ended) / now+60 s (active)</t>
        </is>
      </c>
      <c r="G23" s="21" t="inlineStr">
        <is>
          <t>POST Delete</t>
        </is>
      </c>
      <c r="H23" s="21" t="inlineStr">
        <is>
          <t>Ended: deleted. Active: refused</t>
        </is>
      </c>
      <c r="I23" s="21" t="inlineStr">
        <is>
          <t>Pass</t>
        </is>
      </c>
      <c r="J23" s="21" t="inlineStr">
        <is>
          <t>Delete_PublishedProgramAroundEndTime_RespectsBoundary</t>
        </is>
      </c>
      <c r="K23" s="21" t="n"/>
      <c r="L23" s="22" t="inlineStr">
        <is>
          <t>As expected; test passed.</t>
        </is>
      </c>
      <c r="M23" s="22" t="inlineStr">
        <is>
          <t>Pass</t>
        </is>
      </c>
      <c r="N23" s="22" t="inlineStr">
        <is>
          <t>2026-10-13</t>
        </is>
      </c>
      <c r="O23" s="22" t="inlineStr">
        <is>
          <t>Binoy Dev</t>
        </is>
      </c>
    </row>
    <row r="24" ht="15" customHeight="1" s="11">
      <c r="A24" s="21" t="inlineStr">
        <is>
          <t>ECT-01</t>
        </is>
      </c>
      <c r="B24" s="21" t="inlineStr">
        <is>
          <t>ManageCandidates</t>
        </is>
      </c>
      <c r="C24" s="21" t="inlineStr">
        <is>
          <t>ECT</t>
        </is>
      </c>
      <c r="D24" s="21" t="inlineStr">
        <is>
          <t>High</t>
        </is>
      </c>
      <c r="E24" s="21" t="inlineStr">
        <is>
          <t>Program owned by user</t>
        </is>
      </c>
      <c r="F24" s="21" t="inlineStr">
        <is>
          <t>Owner</t>
        </is>
      </c>
      <c r="G24" s="21" t="inlineStr">
        <is>
          <t>GET ManageCandidates</t>
        </is>
      </c>
      <c r="H24" s="21" t="inlineStr">
        <is>
          <t>View returned</t>
        </is>
      </c>
      <c r="I24" s="21" t="inlineStr">
        <is>
          <t>Pass</t>
        </is>
      </c>
      <c r="J24" s="21" t="inlineStr">
        <is>
          <t>PO-018 (existing)</t>
        </is>
      </c>
      <c r="K24" s="21" t="n"/>
      <c r="L24" s="22" t="inlineStr">
        <is>
          <t>As expected; test passed.</t>
        </is>
      </c>
      <c r="M24" s="22" t="inlineStr">
        <is>
          <t>Pass</t>
        </is>
      </c>
      <c r="N24" s="22" t="inlineStr">
        <is>
          <t>2026-10-13</t>
        </is>
      </c>
      <c r="O24" s="22" t="inlineStr">
        <is>
          <t>Binoy Dev</t>
        </is>
      </c>
    </row>
    <row r="25" ht="15" customHeight="1" s="11">
      <c r="A25" s="21" t="inlineStr">
        <is>
          <t>ECT-02</t>
        </is>
      </c>
      <c r="B25" s="21" t="inlineStr">
        <is>
          <t>ManageCandidates</t>
        </is>
      </c>
      <c r="C25" s="21" t="inlineStr">
        <is>
          <t>ECT</t>
        </is>
      </c>
      <c r="D25" s="21" t="inlineStr">
        <is>
          <t>High</t>
        </is>
      </c>
      <c r="E25" s="21" t="inlineStr">
        <is>
          <t>Program owned by someone else</t>
        </is>
      </c>
      <c r="F25" s="21" t="inlineStr">
        <is>
          <t>Admin role</t>
        </is>
      </c>
      <c r="G25" s="21" t="inlineStr">
        <is>
          <t>GET ManageCandidates</t>
        </is>
      </c>
      <c r="H25" s="21" t="inlineStr">
        <is>
          <t>View returned</t>
        </is>
      </c>
      <c r="I25" s="21" t="inlineStr">
        <is>
          <t>Pass</t>
        </is>
      </c>
      <c r="J25" s="21" t="inlineStr">
        <is>
          <t>PO-020 (existing)</t>
        </is>
      </c>
      <c r="K25" s="21" t="n"/>
      <c r="L25" s="22" t="inlineStr">
        <is>
          <t>As expected; test passed.</t>
        </is>
      </c>
      <c r="M25" s="22" t="inlineStr">
        <is>
          <t>Pass</t>
        </is>
      </c>
      <c r="N25" s="22" t="inlineStr">
        <is>
          <t>2026-10-13</t>
        </is>
      </c>
      <c r="O25" s="22" t="inlineStr">
        <is>
          <t>Binoy Dev</t>
        </is>
      </c>
    </row>
    <row r="26" ht="15" customHeight="1" s="11">
      <c r="A26" s="21" t="inlineStr">
        <is>
          <t>ECT-03</t>
        </is>
      </c>
      <c r="B26" s="21" t="inlineStr">
        <is>
          <t>ManageVoters</t>
        </is>
      </c>
      <c r="C26" s="21" t="inlineStr">
        <is>
          <t>ECT</t>
        </is>
      </c>
      <c r="D26" s="21" t="inlineStr">
        <is>
          <t>High</t>
        </is>
      </c>
      <c r="E26" s="21" t="inlineStr">
        <is>
          <t>Program owned by someone else</t>
        </is>
      </c>
      <c r="F26" s="21" t="inlineStr">
        <is>
          <t>Non-owner, non-admin</t>
        </is>
      </c>
      <c r="G26" s="21" t="inlineStr">
        <is>
          <t>GET ManageVoters</t>
        </is>
      </c>
      <c r="H26" s="21" t="inlineStr">
        <is>
          <t>Forbid</t>
        </is>
      </c>
      <c r="I26" s="21" t="inlineStr">
        <is>
          <t>Pass</t>
        </is>
      </c>
      <c r="J26" s="21" t="inlineStr">
        <is>
          <t>PO-049 (existing)</t>
        </is>
      </c>
      <c r="K26" s="21" t="n"/>
      <c r="L26" s="22" t="inlineStr">
        <is>
          <t>As expected; test passed.</t>
        </is>
      </c>
      <c r="M26" s="22" t="inlineStr">
        <is>
          <t>Pass</t>
        </is>
      </c>
      <c r="N26" s="22" t="inlineStr">
        <is>
          <t>2026-10-13</t>
        </is>
      </c>
      <c r="O26" s="22" t="inlineStr">
        <is>
          <t>Binoy Dev</t>
        </is>
      </c>
    </row>
    <row r="27" ht="15" customHeight="1" s="11">
      <c r="A27" s="21" t="inlineStr">
        <is>
          <t>ECT-04</t>
        </is>
      </c>
      <c r="B27" s="21" t="inlineStr">
        <is>
          <t>MyPrograms</t>
        </is>
      </c>
      <c r="C27" s="21" t="inlineStr">
        <is>
          <t>ECT</t>
        </is>
      </c>
      <c r="D27" s="21" t="inlineStr">
        <is>
          <t>High</t>
        </is>
      </c>
      <c r="E27" s="21" t="inlineStr">
        <is>
          <t>No NameIdentifier claim</t>
        </is>
      </c>
      <c r="F27" s="21" t="inlineStr">
        <is>
          <t>Anonymous identity</t>
        </is>
      </c>
      <c r="G27" s="21" t="inlineStr">
        <is>
          <t>GET MyPrograms</t>
        </is>
      </c>
      <c r="H27" s="21" t="inlineStr">
        <is>
          <t>Unauthorized</t>
        </is>
      </c>
      <c r="I27" s="21" t="inlineStr">
        <is>
          <t>Pass</t>
        </is>
      </c>
      <c r="J27" s="21" t="inlineStr">
        <is>
          <t>PO-001 (existing)</t>
        </is>
      </c>
      <c r="K27" s="21" t="n"/>
      <c r="L27" s="22" t="inlineStr">
        <is>
          <t>As expected; test passed.</t>
        </is>
      </c>
      <c r="M27" s="22" t="inlineStr">
        <is>
          <t>Pass</t>
        </is>
      </c>
      <c r="N27" s="22" t="inlineStr">
        <is>
          <t>2026-10-13</t>
        </is>
      </c>
      <c r="O27" s="22" t="inlineStr">
        <is>
          <t>Binoy Dev</t>
        </is>
      </c>
    </row>
    <row r="28" ht="15" customHeight="1" s="11">
      <c r="A28" s="21" t="inlineStr">
        <is>
          <t>ECT-05</t>
        </is>
      </c>
      <c r="B28" s="21" t="inlineStr">
        <is>
          <t>Results</t>
        </is>
      </c>
      <c r="C28" s="21" t="inlineStr">
        <is>
          <t>ECT</t>
        </is>
      </c>
      <c r="D28" s="21" t="inlineStr">
        <is>
          <t>Medium</t>
        </is>
      </c>
      <c r="E28" s="21" t="inlineStr">
        <is>
          <t>Program does not exist</t>
        </is>
      </c>
      <c r="F28" s="21" t="inlineStr">
        <is>
          <t>programId = 999</t>
        </is>
      </c>
      <c r="G28" s="21" t="inlineStr">
        <is>
          <t>GET Results</t>
        </is>
      </c>
      <c r="H28" s="21" t="inlineStr">
        <is>
          <t>NotFound</t>
        </is>
      </c>
      <c r="I28" s="21" t="inlineStr">
        <is>
          <t>Pass</t>
        </is>
      </c>
      <c r="J28" s="21" t="inlineStr">
        <is>
          <t>PO-044 (existing)</t>
        </is>
      </c>
      <c r="K28" s="21" t="n"/>
      <c r="L28" s="22" t="inlineStr">
        <is>
          <t>As expected; test passed.</t>
        </is>
      </c>
      <c r="M28" s="22" t="inlineStr">
        <is>
          <t>Pass</t>
        </is>
      </c>
      <c r="N28" s="22" t="inlineStr">
        <is>
          <t>2026-10-13</t>
        </is>
      </c>
      <c r="O28" s="22" t="inlineStr">
        <is>
          <t>Binoy Dev</t>
        </is>
      </c>
    </row>
    <row r="29" ht="15" customHeight="1" s="11">
      <c r="A29" s="21" t="inlineStr">
        <is>
          <t>ECT-06</t>
        </is>
      </c>
      <c r="B29" s="21" t="inlineStr">
        <is>
          <t>AddCandidate</t>
        </is>
      </c>
      <c r="C29" s="21" t="inlineStr">
        <is>
          <t>ECT</t>
        </is>
      </c>
      <c r="D29" s="21" t="inlineStr">
        <is>
          <t>Medium</t>
        </is>
      </c>
      <c r="E29" s="21" t="inlineStr">
        <is>
          <t>Owner</t>
        </is>
      </c>
      <c r="F29" s="21" t="inlineStr">
        <is>
          <t>imageUrl http://x.example/a.png</t>
        </is>
      </c>
      <c r="G29" s="21" t="inlineStr">
        <is>
          <t>POST AddCandidate</t>
        </is>
      </c>
      <c r="H29" s="21" t="inlineStr">
        <is>
          <t>Saved</t>
        </is>
      </c>
      <c r="I29" s="21" t="inlineStr">
        <is>
          <t>Pass</t>
        </is>
      </c>
      <c r="J29" s="21" t="inlineStr">
        <is>
          <t>PO-030 (existing)</t>
        </is>
      </c>
      <c r="K29" s="21" t="n"/>
      <c r="L29" s="22" t="inlineStr">
        <is>
          <t>As expected; test passed.</t>
        </is>
      </c>
      <c r="M29" s="22" t="inlineStr">
        <is>
          <t>Pass</t>
        </is>
      </c>
      <c r="N29" s="22" t="inlineStr">
        <is>
          <t>2026-10-13</t>
        </is>
      </c>
      <c r="O29" s="22" t="inlineStr">
        <is>
          <t>Binoy Dev</t>
        </is>
      </c>
    </row>
    <row r="30" ht="15" customHeight="1" s="11">
      <c r="A30" s="21" t="inlineStr">
        <is>
          <t>ECT-07</t>
        </is>
      </c>
      <c r="B30" s="21" t="inlineStr">
        <is>
          <t>AddCandidate</t>
        </is>
      </c>
      <c r="C30" s="21" t="inlineStr">
        <is>
          <t>ECT</t>
        </is>
      </c>
      <c r="D30" s="21" t="inlineStr">
        <is>
          <t>Medium</t>
        </is>
      </c>
      <c r="E30" s="21" t="inlineStr">
        <is>
          <t>Owner</t>
        </is>
      </c>
      <c r="F30" s="21" t="inlineStr">
        <is>
          <t>imageUrl https://x.example/a.png</t>
        </is>
      </c>
      <c r="G30" s="21" t="inlineStr">
        <is>
          <t>POST AddCandidate</t>
        </is>
      </c>
      <c r="H30" s="21" t="inlineStr">
        <is>
          <t>Saved</t>
        </is>
      </c>
      <c r="I30" s="21" t="inlineStr">
        <is>
          <t>Pass</t>
        </is>
      </c>
      <c r="J30" s="21" t="inlineStr">
        <is>
          <t>PO-031 (existing)</t>
        </is>
      </c>
      <c r="K30" s="21" t="n"/>
      <c r="L30" s="22" t="inlineStr">
        <is>
          <t>As expected; test passed.</t>
        </is>
      </c>
      <c r="M30" s="22" t="inlineStr">
        <is>
          <t>Pass</t>
        </is>
      </c>
      <c r="N30" s="22" t="inlineStr">
        <is>
          <t>2026-10-13</t>
        </is>
      </c>
      <c r="O30" s="22" t="inlineStr">
        <is>
          <t>Binoy Dev</t>
        </is>
      </c>
    </row>
    <row r="31" ht="15" customHeight="1" s="11">
      <c r="A31" s="21" t="inlineStr">
        <is>
          <t>ECT-08</t>
        </is>
      </c>
      <c r="B31" s="21" t="inlineStr">
        <is>
          <t>AddCandidate</t>
        </is>
      </c>
      <c r="C31" s="21" t="inlineStr">
        <is>
          <t>ECT</t>
        </is>
      </c>
      <c r="D31" s="21" t="inlineStr">
        <is>
          <t>Medium</t>
        </is>
      </c>
      <c r="E31" s="21" t="inlineStr">
        <is>
          <t>Owner</t>
        </is>
      </c>
      <c r="F31" s="21" t="inlineStr">
        <is>
          <t>imageUrl /images/a.png</t>
        </is>
      </c>
      <c r="G31" s="21" t="inlineStr">
        <is>
          <t>POST AddCandidate</t>
        </is>
      </c>
      <c r="H31" s="21" t="inlineStr">
        <is>
          <t>Saved</t>
        </is>
      </c>
      <c r="I31" s="21" t="inlineStr">
        <is>
          <t>Pass</t>
        </is>
      </c>
      <c r="J31" s="21" t="inlineStr">
        <is>
          <t>PO-032 (existing)</t>
        </is>
      </c>
      <c r="K31" s="21" t="n"/>
      <c r="L31" s="22" t="inlineStr">
        <is>
          <t>As expected; test passed.</t>
        </is>
      </c>
      <c r="M31" s="22" t="inlineStr">
        <is>
          <t>Pass</t>
        </is>
      </c>
      <c r="N31" s="22" t="inlineStr">
        <is>
          <t>2026-10-13</t>
        </is>
      </c>
      <c r="O31" s="22" t="inlineStr">
        <is>
          <t>Binoy Dev</t>
        </is>
      </c>
    </row>
    <row r="32" ht="23.85" customHeight="1" s="11">
      <c r="A32" s="21" t="inlineStr">
        <is>
          <t>ECT-09</t>
        </is>
      </c>
      <c r="B32" s="21" t="inlineStr">
        <is>
          <t>AddCandidate</t>
        </is>
      </c>
      <c r="C32" s="21" t="inlineStr">
        <is>
          <t>ECT</t>
        </is>
      </c>
      <c r="D32" s="21" t="inlineStr">
        <is>
          <t>Medium</t>
        </is>
      </c>
      <c r="E32" s="21" t="inlineStr">
        <is>
          <t>Owner</t>
        </is>
      </c>
      <c r="F32" s="21" t="inlineStr">
        <is>
          <t>imageUrl //evil.example/a.png</t>
        </is>
      </c>
      <c r="G32" s="21" t="inlineStr">
        <is>
          <t>POST AddCandidate</t>
        </is>
      </c>
      <c r="H32" s="21" t="inlineStr">
        <is>
          <t>Rejected</t>
        </is>
      </c>
      <c r="I32" s="21" t="inlineStr">
        <is>
          <t>Fail</t>
        </is>
      </c>
      <c r="J32" s="21" t="inlineStr">
        <is>
          <t>D09_AddCandidate_ProtocolRelativeImageUrl_IsRejected</t>
        </is>
      </c>
      <c r="K32" s="21" t="inlineStr">
        <is>
          <t>D09</t>
        </is>
      </c>
      <c r="L32" s="22" t="inlineStr">
        <is>
          <t>Rejected after the fix; defect D09 is fixed and the regression test passes.</t>
        </is>
      </c>
      <c r="M32" s="22" t="inlineStr">
        <is>
          <t>Pass</t>
        </is>
      </c>
      <c r="N32" s="22" t="inlineStr">
        <is>
          <t>2026-10-13</t>
        </is>
      </c>
      <c r="O32" s="22" t="inlineStr">
        <is>
          <t>Binoy Dev</t>
        </is>
      </c>
    </row>
    <row r="33" ht="15" customHeight="1" s="11">
      <c r="A33" s="21" t="inlineStr">
        <is>
          <t>ECT-10</t>
        </is>
      </c>
      <c r="B33" s="21" t="inlineStr">
        <is>
          <t>AddCandidate</t>
        </is>
      </c>
      <c r="C33" s="21" t="inlineStr">
        <is>
          <t>ECT</t>
        </is>
      </c>
      <c r="D33" s="21" t="inlineStr">
        <is>
          <t>High</t>
        </is>
      </c>
      <c r="E33" s="21" t="inlineStr">
        <is>
          <t>Owner</t>
        </is>
      </c>
      <c r="F33" s="21" t="inlineStr">
        <is>
          <t>imageUrl javascript:alert(1)</t>
        </is>
      </c>
      <c r="G33" s="21" t="inlineStr">
        <is>
          <t>POST AddCandidate</t>
        </is>
      </c>
      <c r="H33" s="21" t="inlineStr">
        <is>
          <t>Rejected</t>
        </is>
      </c>
      <c r="I33" s="21" t="inlineStr">
        <is>
          <t>Pass</t>
        </is>
      </c>
      <c r="J33" s="21" t="inlineStr">
        <is>
          <t>PO-034 (existing)</t>
        </is>
      </c>
      <c r="K33" s="21" t="n"/>
      <c r="L33" s="22" t="inlineStr">
        <is>
          <t>As expected; test passed.</t>
        </is>
      </c>
      <c r="M33" s="22" t="inlineStr">
        <is>
          <t>Pass</t>
        </is>
      </c>
      <c r="N33" s="22" t="inlineStr">
        <is>
          <t>2026-10-13</t>
        </is>
      </c>
      <c r="O33" s="22" t="inlineStr">
        <is>
          <t>Binoy Dev</t>
        </is>
      </c>
    </row>
    <row r="34" ht="15" customHeight="1" s="11">
      <c r="A34" s="21" t="inlineStr">
        <is>
          <t>ECT-11</t>
        </is>
      </c>
      <c r="B34" s="21" t="inlineStr">
        <is>
          <t>AddCandidate</t>
        </is>
      </c>
      <c r="C34" s="21" t="inlineStr">
        <is>
          <t>ECT</t>
        </is>
      </c>
      <c r="D34" s="21" t="inlineStr">
        <is>
          <t>Medium</t>
        </is>
      </c>
      <c r="E34" s="21" t="inlineStr">
        <is>
          <t>Owner</t>
        </is>
      </c>
      <c r="F34" s="21" t="inlineStr">
        <is>
          <t>imageUrl ftp://x.example/a.png</t>
        </is>
      </c>
      <c r="G34" s="21" t="inlineStr">
        <is>
          <t>POST AddCandidate</t>
        </is>
      </c>
      <c r="H34" s="21" t="inlineStr">
        <is>
          <t>Rejected</t>
        </is>
      </c>
      <c r="I34" s="21" t="inlineStr">
        <is>
          <t>Pass</t>
        </is>
      </c>
      <c r="J34" s="21" t="inlineStr">
        <is>
          <t>PO-035 (existing)</t>
        </is>
      </c>
      <c r="K34" s="21" t="n"/>
      <c r="L34" s="22" t="inlineStr">
        <is>
          <t>As expected; test passed.</t>
        </is>
      </c>
      <c r="M34" s="22" t="inlineStr">
        <is>
          <t>Pass</t>
        </is>
      </c>
      <c r="N34" s="22" t="inlineStr">
        <is>
          <t>2026-10-13</t>
        </is>
      </c>
      <c r="O34" s="22" t="inlineStr">
        <is>
          <t>Binoy Dev</t>
        </is>
      </c>
    </row>
    <row r="35" ht="15" customHeight="1" s="11">
      <c r="A35" s="21" t="inlineStr">
        <is>
          <t>ECT-12</t>
        </is>
      </c>
      <c r="B35" s="21" t="inlineStr">
        <is>
          <t>AddCandidate</t>
        </is>
      </c>
      <c r="C35" s="21" t="inlineStr">
        <is>
          <t>ECT</t>
        </is>
      </c>
      <c r="D35" s="21" t="inlineStr">
        <is>
          <t>Medium</t>
        </is>
      </c>
      <c r="E35" s="21" t="inlineStr">
        <is>
          <t>Candidate code 'A' exists</t>
        </is>
      </c>
      <c r="F35" s="21" t="inlineStr">
        <is>
          <t>code 'A' again</t>
        </is>
      </c>
      <c r="G35" s="21" t="inlineStr">
        <is>
          <t>POST AddCandidate</t>
        </is>
      </c>
      <c r="H35" s="21" t="inlineStr">
        <is>
          <t>Rejected as duplicate</t>
        </is>
      </c>
      <c r="I35" s="21" t="inlineStr">
        <is>
          <t>Pass</t>
        </is>
      </c>
      <c r="J35" s="21" t="inlineStr">
        <is>
          <t>PO-029 (existing)</t>
        </is>
      </c>
      <c r="K35" s="21" t="n"/>
      <c r="L35" s="22" t="inlineStr">
        <is>
          <t>As expected; test passed.</t>
        </is>
      </c>
      <c r="M35" s="22" t="inlineStr">
        <is>
          <t>Pass</t>
        </is>
      </c>
      <c r="N35" s="22" t="inlineStr">
        <is>
          <t>2026-10-13</t>
        </is>
      </c>
      <c r="O35" s="22" t="inlineStr">
        <is>
          <t>Binoy Dev</t>
        </is>
      </c>
    </row>
    <row r="36" ht="23.85" customHeight="1" s="11">
      <c r="A36" s="21" t="inlineStr">
        <is>
          <t>ECT-13</t>
        </is>
      </c>
      <c r="B36" s="21" t="inlineStr">
        <is>
          <t>AddCandidate</t>
        </is>
      </c>
      <c r="C36" s="21" t="inlineStr">
        <is>
          <t>ECT</t>
        </is>
      </c>
      <c r="D36" s="21" t="inlineStr">
        <is>
          <t>Low</t>
        </is>
      </c>
      <c r="E36" s="21" t="inlineStr">
        <is>
          <t>Candidate code 'A' exists</t>
        </is>
      </c>
      <c r="F36" s="21" t="inlineStr">
        <is>
          <t>code 'a'</t>
        </is>
      </c>
      <c r="G36" s="21" t="inlineStr">
        <is>
          <t>POST AddCandidate</t>
        </is>
      </c>
      <c r="H36" s="21" t="inlineStr">
        <is>
          <t>Rejected as duplicate</t>
        </is>
      </c>
      <c r="I36" s="21" t="inlineStr">
        <is>
          <t>Fail</t>
        </is>
      </c>
      <c r="J36" s="21" t="inlineStr">
        <is>
          <t>D10_AddCandidate_CodeThatDiffersOnlyByCase_IsRejectedAsDuplicate</t>
        </is>
      </c>
      <c r="K36" s="21" t="inlineStr">
        <is>
          <t>D10</t>
        </is>
      </c>
      <c r="L36" s="22" t="inlineStr">
        <is>
          <t>Rejected as expected. Defect D10 was fixed in commit 4896cce; this test now guards against regression.</t>
        </is>
      </c>
      <c r="M36" s="22" t="inlineStr">
        <is>
          <t>Pass</t>
        </is>
      </c>
      <c r="N36" s="22" t="inlineStr">
        <is>
          <t>2026-10-13</t>
        </is>
      </c>
      <c r="O36" s="22" t="inlineStr">
        <is>
          <t>Binoy Dev</t>
        </is>
      </c>
    </row>
    <row r="37" ht="23.85" customHeight="1" s="11">
      <c r="A37" s="21" t="inlineStr">
        <is>
          <t>ECT-14</t>
        </is>
      </c>
      <c r="B37" s="21" t="inlineStr">
        <is>
          <t>AddCandidate</t>
        </is>
      </c>
      <c r="C37" s="21" t="inlineStr">
        <is>
          <t>ECT</t>
        </is>
      </c>
      <c r="D37" s="21" t="inlineStr">
        <is>
          <t>High</t>
        </is>
      </c>
      <c r="E37" s="21" t="inlineStr">
        <is>
          <t>Active published program</t>
        </is>
      </c>
      <c r="F37" s="21" t="inlineStr">
        <is>
          <t>Valid candidate</t>
        </is>
      </c>
      <c r="G37" s="21" t="inlineStr">
        <is>
          <t>POST AddCandidate</t>
        </is>
      </c>
      <c r="H37" s="21" t="inlineStr">
        <is>
          <t>Rejected: ballot frozen</t>
        </is>
      </c>
      <c r="I37" s="21" t="inlineStr">
        <is>
          <t>Fail</t>
        </is>
      </c>
      <c r="J37" s="21" t="inlineStr">
        <is>
          <t>D02_AddCandidate_WhileProgramIsActive_IsRejected</t>
        </is>
      </c>
      <c r="K37" s="21" t="inlineStr">
        <is>
          <t>D02</t>
        </is>
      </c>
      <c r="L37" s="22" t="inlineStr">
        <is>
          <t>Rejected as expected. Defect D02 was fixed in commit 4896cce; this test now guards against regression.</t>
        </is>
      </c>
      <c r="M37" s="22" t="inlineStr">
        <is>
          <t>Pass</t>
        </is>
      </c>
      <c r="N37" s="22" t="inlineStr">
        <is>
          <t>2026-10-13</t>
        </is>
      </c>
      <c r="O37" s="22" t="inlineStr">
        <is>
          <t>Binoy Dev</t>
        </is>
      </c>
    </row>
    <row r="38" ht="23.85" customHeight="1" s="11">
      <c r="A38" s="21" t="inlineStr">
        <is>
          <t>ECT-15</t>
        </is>
      </c>
      <c r="B38" s="21" t="inlineStr">
        <is>
          <t>AddCandidate</t>
        </is>
      </c>
      <c r="C38" s="21" t="inlineStr">
        <is>
          <t>ECT</t>
        </is>
      </c>
      <c r="D38" s="21" t="inlineStr">
        <is>
          <t>High</t>
        </is>
      </c>
      <c r="E38" s="21" t="inlineStr">
        <is>
          <t>Ended program</t>
        </is>
      </c>
      <c r="F38" s="21" t="inlineStr">
        <is>
          <t>Valid candidate</t>
        </is>
      </c>
      <c r="G38" s="21" t="inlineStr">
        <is>
          <t>POST AddCandidate</t>
        </is>
      </c>
      <c r="H38" s="21" t="inlineStr">
        <is>
          <t>Rejected</t>
        </is>
      </c>
      <c r="I38" s="21" t="inlineStr">
        <is>
          <t>Fail</t>
        </is>
      </c>
      <c r="J38" s="21" t="inlineStr">
        <is>
          <t>D02_AddCandidate_AfterProgramEnded_IsRejected</t>
        </is>
      </c>
      <c r="K38" s="21" t="inlineStr">
        <is>
          <t>D02</t>
        </is>
      </c>
      <c r="L38" s="22" t="inlineStr">
        <is>
          <t>Rejected as expected. Defect D02 was fixed in commit 4896cce; this test now guards against regression.</t>
        </is>
      </c>
      <c r="M38" s="22" t="inlineStr">
        <is>
          <t>Pass</t>
        </is>
      </c>
      <c r="N38" s="22" t="inlineStr">
        <is>
          <t>2026-10-13</t>
        </is>
      </c>
      <c r="O38" s="22" t="inlineStr">
        <is>
          <t>Binoy Dev</t>
        </is>
      </c>
    </row>
    <row r="39" ht="23.85" customHeight="1" s="11">
      <c r="A39" s="21" t="inlineStr">
        <is>
          <t>ECT-16</t>
        </is>
      </c>
      <c r="B39" s="21" t="inlineStr">
        <is>
          <t>DeleteCandidate</t>
        </is>
      </c>
      <c r="C39" s="21" t="inlineStr">
        <is>
          <t>ECT</t>
        </is>
      </c>
      <c r="D39" s="21" t="inlineStr">
        <is>
          <t>High</t>
        </is>
      </c>
      <c r="E39" s="21" t="inlineStr">
        <is>
          <t>Active published program</t>
        </is>
      </c>
      <c r="F39" s="21" t="inlineStr">
        <is>
          <t>Existing candidate</t>
        </is>
      </c>
      <c r="G39" s="21" t="inlineStr">
        <is>
          <t>POST DeleteCandidate</t>
        </is>
      </c>
      <c r="H39" s="21" t="inlineStr">
        <is>
          <t>Rejected</t>
        </is>
      </c>
      <c r="I39" s="21" t="inlineStr">
        <is>
          <t>Fail</t>
        </is>
      </c>
      <c r="J39" s="21" t="inlineStr">
        <is>
          <t>D02_DeleteCandidate_WhileProgramIsActive_IsRejected</t>
        </is>
      </c>
      <c r="K39" s="21" t="inlineStr">
        <is>
          <t>D02</t>
        </is>
      </c>
      <c r="L39" s="22" t="inlineStr">
        <is>
          <t>Rejected as expected. Defect D02 was fixed in commit 4896cce; this test now guards against regression.</t>
        </is>
      </c>
      <c r="M39" s="22" t="inlineStr">
        <is>
          <t>Pass</t>
        </is>
      </c>
      <c r="N39" s="22" t="inlineStr">
        <is>
          <t>2026-10-13</t>
        </is>
      </c>
      <c r="O39" s="22" t="inlineStr">
        <is>
          <t>Binoy Dev</t>
        </is>
      </c>
    </row>
    <row r="40" ht="23.85" customHeight="1" s="11">
      <c r="A40" s="21" t="inlineStr">
        <is>
          <t>ECT-17</t>
        </is>
      </c>
      <c r="B40" s="21" t="inlineStr">
        <is>
          <t>DeleteCandidate</t>
        </is>
      </c>
      <c r="C40" s="21" t="inlineStr">
        <is>
          <t>ECT</t>
        </is>
      </c>
      <c r="D40" s="21" t="inlineStr">
        <is>
          <t>High</t>
        </is>
      </c>
      <c r="E40" s="21" t="inlineStr">
        <is>
          <t>Candidate has a vote</t>
        </is>
      </c>
      <c r="F40" s="21" t="inlineStr">
        <is>
          <t>Existing candidate</t>
        </is>
      </c>
      <c r="G40" s="21" t="inlineStr">
        <is>
          <t>POST DeleteCandidate</t>
        </is>
      </c>
      <c r="H40" s="21" t="inlineStr">
        <is>
          <t>Rejected; votes preserved</t>
        </is>
      </c>
      <c r="I40" s="21" t="inlineStr">
        <is>
          <t>Fail</t>
        </is>
      </c>
      <c r="J40" s="21" t="inlineStr">
        <is>
          <t>D03_DeleteCandidate_WithRecordedVotes_IsRejected</t>
        </is>
      </c>
      <c r="K40" s="21" t="inlineStr">
        <is>
          <t>D03</t>
        </is>
      </c>
      <c r="L40" s="22" t="inlineStr">
        <is>
          <t>Rejected as expected. Defect D03 was fixed in commit 4896cce; this test now guards against regression.</t>
        </is>
      </c>
      <c r="M40" s="22" t="inlineStr">
        <is>
          <t>Pass</t>
        </is>
      </c>
      <c r="N40" s="22" t="inlineStr">
        <is>
          <t>2026-10-13</t>
        </is>
      </c>
      <c r="O40" s="22" t="inlineStr">
        <is>
          <t>Binoy Dev</t>
        </is>
      </c>
    </row>
    <row r="41" ht="23.85" customHeight="1" s="11">
      <c r="A41" s="21" t="inlineStr">
        <is>
          <t>ECT-18</t>
        </is>
      </c>
      <c r="B41" s="21" t="inlineStr">
        <is>
          <t>RegisterVoter</t>
        </is>
      </c>
      <c r="C41" s="21" t="inlineStr">
        <is>
          <t>ECT</t>
        </is>
      </c>
      <c r="D41" s="21" t="inlineStr">
        <is>
          <t>Medium</t>
        </is>
      </c>
      <c r="E41" s="21" t="inlineStr">
        <is>
          <t>Owner program</t>
        </is>
      </c>
      <c r="F41" s="21" t="inlineStr">
        <is>
          <t>email 'not-an-email'</t>
        </is>
      </c>
      <c r="G41" s="21" t="inlineStr">
        <is>
          <t>RegisterVoterByEmailAsync</t>
        </is>
      </c>
      <c r="H41" s="21" t="inlineStr">
        <is>
          <t>Rejected</t>
        </is>
      </c>
      <c r="I41" s="21" t="inlineStr">
        <is>
          <t>Fail</t>
        </is>
      </c>
      <c r="J41" s="21" t="inlineStr">
        <is>
          <t>D14_RegisterVoter_InvalidEmailFormat_IsRejected</t>
        </is>
      </c>
      <c r="K41" s="21" t="inlineStr">
        <is>
          <t>D14</t>
        </is>
      </c>
      <c r="L41" s="22" t="inlineStr">
        <is>
          <t>Rejected as expected. Defect D14 was fixed in commit 4896cce; this test now guards against regression.</t>
        </is>
      </c>
      <c r="M41" s="22" t="inlineStr">
        <is>
          <t>Pass</t>
        </is>
      </c>
      <c r="N41" s="22" t="inlineStr">
        <is>
          <t>2026-10-13</t>
        </is>
      </c>
      <c r="O41" s="22" t="inlineStr">
        <is>
          <t>Binoy Dev</t>
        </is>
      </c>
    </row>
    <row r="42" ht="23.85" customHeight="1" s="11">
      <c r="A42" s="21" t="inlineStr">
        <is>
          <t>ECT-19</t>
        </is>
      </c>
      <c r="B42" s="21" t="inlineStr">
        <is>
          <t>RegisterVoter</t>
        </is>
      </c>
      <c r="C42" s="21" t="inlineStr">
        <is>
          <t>ECT</t>
        </is>
      </c>
      <c r="D42" s="21" t="inlineStr">
        <is>
          <t>Medium</t>
        </is>
      </c>
      <c r="E42" s="21" t="inlineStr">
        <is>
          <t>Ended program</t>
        </is>
      </c>
      <c r="F42" s="21" t="inlineStr">
        <is>
          <t>Valid voter</t>
        </is>
      </c>
      <c r="G42" s="21" t="inlineStr">
        <is>
          <t>RegisterVoterByEmailAsync</t>
        </is>
      </c>
      <c r="H42" s="21" t="inlineStr">
        <is>
          <t>Rejected</t>
        </is>
      </c>
      <c r="I42" s="21" t="inlineStr">
        <is>
          <t>Fail</t>
        </is>
      </c>
      <c r="J42" s="21" t="inlineStr">
        <is>
          <t>D14_RegisterVoter_AfterElectionEnded_IsRejected</t>
        </is>
      </c>
      <c r="K42" s="21" t="inlineStr">
        <is>
          <t>D14</t>
        </is>
      </c>
      <c r="L42" s="22" t="inlineStr">
        <is>
          <t>Rejected as expected. Defect D14 was fixed in commit 4896cce; this test now guards against regression.</t>
        </is>
      </c>
      <c r="M42" s="22" t="inlineStr">
        <is>
          <t>Pass</t>
        </is>
      </c>
      <c r="N42" s="22" t="inlineStr">
        <is>
          <t>2026-10-13</t>
        </is>
      </c>
      <c r="O42" s="22" t="inlineStr">
        <is>
          <t>Binoy Dev</t>
        </is>
      </c>
    </row>
    <row r="43" ht="23.85" customHeight="1" s="11">
      <c r="A43" s="21" t="inlineStr">
        <is>
          <t>ECT-20</t>
        </is>
      </c>
      <c r="B43" s="21" t="inlineStr">
        <is>
          <t>Edit POST</t>
        </is>
      </c>
      <c r="C43" s="21" t="inlineStr">
        <is>
          <t>ECT</t>
        </is>
      </c>
      <c r="D43" s="21" t="inlineStr">
        <is>
          <t>High</t>
        </is>
      </c>
      <c r="E43" s="21" t="inlineStr">
        <is>
          <t>Active program</t>
        </is>
      </c>
      <c r="F43" s="21" t="inlineStr">
        <is>
          <t>New Start/End in the future</t>
        </is>
      </c>
      <c r="G43" s="21" t="inlineStr">
        <is>
          <t>ValidateAndUpdateProgramAsync</t>
        </is>
      </c>
      <c r="H43" s="21" t="inlineStr">
        <is>
          <t>Rejected</t>
        </is>
      </c>
      <c r="I43" s="21" t="inlineStr">
        <is>
          <t>Fail</t>
        </is>
      </c>
      <c r="J43" s="21" t="inlineStr">
        <is>
          <t>D01_Edit_StartedProgram_CannotBeRescheduledIntoTheFuture</t>
        </is>
      </c>
      <c r="K43" s="21" t="inlineStr">
        <is>
          <t>D01</t>
        </is>
      </c>
      <c r="L43" s="22" t="inlineStr">
        <is>
          <t>Rejected as expected. Defect D01 was fixed in commit 4896cce; this test now guards against regression.</t>
        </is>
      </c>
      <c r="M43" s="22" t="inlineStr">
        <is>
          <t>Pass</t>
        </is>
      </c>
      <c r="N43" s="22" t="inlineStr">
        <is>
          <t>2026-10-13</t>
        </is>
      </c>
      <c r="O43" s="22" t="inlineStr">
        <is>
          <t>Binoy Dev</t>
        </is>
      </c>
    </row>
    <row r="44" ht="15" customHeight="1" s="11">
      <c r="A44" s="21" t="inlineStr">
        <is>
          <t>BP-01</t>
        </is>
      </c>
      <c r="B44" s="21" t="inlineStr">
        <is>
          <t>MyPrograms</t>
        </is>
      </c>
      <c r="C44" s="21" t="inlineStr">
        <is>
          <t>Basis path</t>
        </is>
      </c>
      <c r="D44" s="21" t="inlineStr">
        <is>
          <t>High</t>
        </is>
      </c>
      <c r="E44" s="21" t="inlineStr">
        <is>
          <t>No user id</t>
        </is>
      </c>
      <c r="F44" s="21" t="inlineStr">
        <is>
          <t>—</t>
        </is>
      </c>
      <c r="G44" s="21" t="inlineStr">
        <is>
          <t>GET MyPrograms</t>
        </is>
      </c>
      <c r="H44" s="21" t="inlineStr">
        <is>
          <t>Unauthorized (P1)</t>
        </is>
      </c>
      <c r="I44" s="21" t="inlineStr">
        <is>
          <t>Pass</t>
        </is>
      </c>
      <c r="J44" s="21" t="inlineStr">
        <is>
          <t>PO-001 (existing)</t>
        </is>
      </c>
      <c r="K44" s="21" t="n"/>
      <c r="L44" s="22" t="inlineStr">
        <is>
          <t>As expected; test passed.</t>
        </is>
      </c>
      <c r="M44" s="22" t="inlineStr">
        <is>
          <t>Pass</t>
        </is>
      </c>
      <c r="N44" s="22" t="inlineStr">
        <is>
          <t>2026-10-13</t>
        </is>
      </c>
      <c r="O44" s="22" t="inlineStr">
        <is>
          <t>Binoy Dev</t>
        </is>
      </c>
    </row>
    <row r="45" ht="15" customHeight="1" s="11">
      <c r="A45" s="21" t="inlineStr">
        <is>
          <t>BP-02</t>
        </is>
      </c>
      <c r="B45" s="21" t="inlineStr">
        <is>
          <t>MyPrograms</t>
        </is>
      </c>
      <c r="C45" s="21" t="inlineStr">
        <is>
          <t>Basis path</t>
        </is>
      </c>
      <c r="D45" s="21" t="inlineStr">
        <is>
          <t>High</t>
        </is>
      </c>
      <c r="E45" s="21" t="inlineStr">
        <is>
          <t>Owner has 1 program</t>
        </is>
      </c>
      <c r="F45" s="21" t="inlineStr">
        <is>
          <t>owner-1</t>
        </is>
      </c>
      <c r="G45" s="21" t="inlineStr">
        <is>
          <t>GET MyPrograms</t>
        </is>
      </c>
      <c r="H45" s="21" t="inlineStr">
        <is>
          <t>View with owner's programs (P2)</t>
        </is>
      </c>
      <c r="I45" s="21" t="inlineStr">
        <is>
          <t>Pass</t>
        </is>
      </c>
      <c r="J45" s="21" t="inlineStr">
        <is>
          <t>PO-002 (existing)</t>
        </is>
      </c>
      <c r="K45" s="21" t="n"/>
      <c r="L45" s="22" t="inlineStr">
        <is>
          <t>As expected; test passed.</t>
        </is>
      </c>
      <c r="M45" s="22" t="inlineStr">
        <is>
          <t>Pass</t>
        </is>
      </c>
      <c r="N45" s="22" t="inlineStr">
        <is>
          <t>2026-10-13</t>
        </is>
      </c>
      <c r="O45" s="22" t="inlineStr">
        <is>
          <t>Binoy Dev</t>
        </is>
      </c>
    </row>
    <row r="46" ht="15" customHeight="1" s="11">
      <c r="A46" s="21" t="inlineStr">
        <is>
          <t>BP-03</t>
        </is>
      </c>
      <c r="B46" s="21" t="inlineStr">
        <is>
          <t>Create POST</t>
        </is>
      </c>
      <c r="C46" s="21" t="inlineStr">
        <is>
          <t>Basis path</t>
        </is>
      </c>
      <c r="D46" s="21" t="inlineStr">
        <is>
          <t>High</t>
        </is>
      </c>
      <c r="E46" s="21" t="inlineStr">
        <is>
          <t>Invalid ModelState</t>
        </is>
      </c>
      <c r="F46" s="21" t="inlineStr">
        <is>
          <t>Empty name</t>
        </is>
      </c>
      <c r="G46" s="21" t="inlineStr">
        <is>
          <t>POST Create</t>
        </is>
      </c>
      <c r="H46" s="21" t="inlineStr">
        <is>
          <t>Form returned, ValuesAreUtc=false (P1)</t>
        </is>
      </c>
      <c r="I46" s="21" t="inlineStr">
        <is>
          <t>Pass</t>
        </is>
      </c>
      <c r="J46" s="21" t="inlineStr">
        <is>
          <t>PO-005 (existing)</t>
        </is>
      </c>
      <c r="K46" s="21" t="n"/>
      <c r="L46" s="22" t="inlineStr">
        <is>
          <t>As expected; test passed.</t>
        </is>
      </c>
      <c r="M46" s="22" t="inlineStr">
        <is>
          <t>Pass</t>
        </is>
      </c>
      <c r="N46" s="22" t="inlineStr">
        <is>
          <t>2026-10-13</t>
        </is>
      </c>
      <c r="O46" s="22" t="inlineStr">
        <is>
          <t>Binoy Dev</t>
        </is>
      </c>
    </row>
    <row r="47" ht="15" customHeight="1" s="11">
      <c r="A47" s="21" t="inlineStr">
        <is>
          <t>BP-04</t>
        </is>
      </c>
      <c r="B47" s="21" t="inlineStr">
        <is>
          <t>Create POST</t>
        </is>
      </c>
      <c r="C47" s="21" t="inlineStr">
        <is>
          <t>Basis path</t>
        </is>
      </c>
      <c r="D47" s="21" t="inlineStr">
        <is>
          <t>High</t>
        </is>
      </c>
      <c r="E47" s="21" t="inlineStr">
        <is>
          <t>Service fails with a message</t>
        </is>
      </c>
      <c r="F47" s="21" t="inlineStr">
        <is>
          <t>—</t>
        </is>
      </c>
      <c r="G47" s="21" t="inlineStr">
        <is>
          <t>POST Create</t>
        </is>
      </c>
      <c r="H47" s="21" t="inlineStr">
        <is>
          <t>Form + model error (P2)</t>
        </is>
      </c>
      <c r="I47" s="21" t="inlineStr">
        <is>
          <t>Pass</t>
        </is>
      </c>
      <c r="J47" s="21" t="inlineStr">
        <is>
          <t>PO-006 (existing)</t>
        </is>
      </c>
      <c r="K47" s="21" t="n"/>
      <c r="L47" s="22" t="inlineStr">
        <is>
          <t>As expected; test passed.</t>
        </is>
      </c>
      <c r="M47" s="22" t="inlineStr">
        <is>
          <t>Pass</t>
        </is>
      </c>
      <c r="N47" s="22" t="inlineStr">
        <is>
          <t>2026-10-13</t>
        </is>
      </c>
      <c r="O47" s="22" t="inlineStr">
        <is>
          <t>Binoy Dev</t>
        </is>
      </c>
    </row>
    <row r="48" ht="23.85" customHeight="1" s="11">
      <c r="A48" s="21" t="inlineStr">
        <is>
          <t>BP-05</t>
        </is>
      </c>
      <c r="B48" s="21" t="inlineStr">
        <is>
          <t>Create POST</t>
        </is>
      </c>
      <c r="C48" s="21" t="inlineStr">
        <is>
          <t>Basis path</t>
        </is>
      </c>
      <c r="D48" s="21" t="inlineStr">
        <is>
          <t>Medium</t>
        </is>
      </c>
      <c r="E48" s="21" t="inlineStr">
        <is>
          <t>Service fails with no message</t>
        </is>
      </c>
      <c r="F48" s="21" t="inlineStr">
        <is>
          <t>—</t>
        </is>
      </c>
      <c r="G48" s="21" t="inlineStr">
        <is>
          <t>POST Create</t>
        </is>
      </c>
      <c r="H48" s="21" t="inlineStr">
        <is>
          <t>Form returned, no model error (P3)</t>
        </is>
      </c>
      <c r="I48" s="21" t="inlineStr">
        <is>
          <t>Pass</t>
        </is>
      </c>
      <c r="J48" s="21" t="inlineStr">
        <is>
          <t>CreatePost_ServiceFailureWithoutMessage_ReturnsFormWithoutModelError</t>
        </is>
      </c>
      <c r="K48" s="21" t="n"/>
      <c r="L48" s="22" t="inlineStr">
        <is>
          <t>As expected; test passed.</t>
        </is>
      </c>
      <c r="M48" s="22" t="inlineStr">
        <is>
          <t>Pass</t>
        </is>
      </c>
      <c r="N48" s="22" t="inlineStr">
        <is>
          <t>2026-10-13</t>
        </is>
      </c>
      <c r="O48" s="22" t="inlineStr">
        <is>
          <t>Binoy Dev</t>
        </is>
      </c>
    </row>
    <row r="49" ht="15" customHeight="1" s="11">
      <c r="A49" s="21" t="inlineStr">
        <is>
          <t>BP-06</t>
        </is>
      </c>
      <c r="B49" s="21" t="inlineStr">
        <is>
          <t>Create POST</t>
        </is>
      </c>
      <c r="C49" s="21" t="inlineStr">
        <is>
          <t>Basis path</t>
        </is>
      </c>
      <c r="D49" s="21" t="inlineStr">
        <is>
          <t>High</t>
        </is>
      </c>
      <c r="E49" s="21" t="inlineStr">
        <is>
          <t>Service succeeds, unpublished</t>
        </is>
      </c>
      <c r="F49" s="21" t="inlineStr">
        <is>
          <t>—</t>
        </is>
      </c>
      <c r="G49" s="21" t="inlineStr">
        <is>
          <t>POST Create</t>
        </is>
      </c>
      <c r="H49" s="21" t="inlineStr">
        <is>
          <t>Redirect to MyPrograms (P4)</t>
        </is>
      </c>
      <c r="I49" s="21" t="inlineStr">
        <is>
          <t>Pass</t>
        </is>
      </c>
      <c r="J49" s="21" t="inlineStr">
        <is>
          <t>PO-007 (existing)</t>
        </is>
      </c>
      <c r="K49" s="21" t="n"/>
      <c r="L49" s="22" t="inlineStr">
        <is>
          <t>As expected; test passed.</t>
        </is>
      </c>
      <c r="M49" s="22" t="inlineStr">
        <is>
          <t>Pass</t>
        </is>
      </c>
      <c r="N49" s="22" t="inlineStr">
        <is>
          <t>2026-10-13</t>
        </is>
      </c>
      <c r="O49" s="22" t="inlineStr">
        <is>
          <t>Binoy Dev</t>
        </is>
      </c>
    </row>
    <row r="50" ht="15" customHeight="1" s="11">
      <c r="A50" s="21" t="inlineStr">
        <is>
          <t>BP-07</t>
        </is>
      </c>
      <c r="B50" s="21" t="inlineStr">
        <is>
          <t>Create POST</t>
        </is>
      </c>
      <c r="C50" s="21" t="inlineStr">
        <is>
          <t>Basis path</t>
        </is>
      </c>
      <c r="D50" s="21" t="inlineStr">
        <is>
          <t>High</t>
        </is>
      </c>
      <c r="E50" s="21" t="inlineStr">
        <is>
          <t>Service succeeds, published</t>
        </is>
      </c>
      <c r="F50" s="21" t="inlineStr">
        <is>
          <t>IsPublished=true</t>
        </is>
      </c>
      <c r="G50" s="21" t="inlineStr">
        <is>
          <t>POST Create</t>
        </is>
      </c>
      <c r="H50" s="21" t="inlineStr">
        <is>
          <t>Published link stored, redirect (P5)</t>
        </is>
      </c>
      <c r="I50" s="21" t="inlineStr">
        <is>
          <t>Pass</t>
        </is>
      </c>
      <c r="J50" s="21" t="inlineStr">
        <is>
          <t>CreatePost_PublishedSuccess_StoresPublishedLinkAndRedirects</t>
        </is>
      </c>
      <c r="K50" s="21" t="n"/>
      <c r="L50" s="22" t="inlineStr">
        <is>
          <t>As expected; test passed.</t>
        </is>
      </c>
      <c r="M50" s="22" t="inlineStr">
        <is>
          <t>Pass</t>
        </is>
      </c>
      <c r="N50" s="22" t="inlineStr">
        <is>
          <t>2026-10-13</t>
        </is>
      </c>
      <c r="O50" s="22" t="inlineStr">
        <is>
          <t>Binoy Dev</t>
        </is>
      </c>
    </row>
    <row r="51" ht="15" customHeight="1" s="11">
      <c r="A51" s="21" t="inlineStr">
        <is>
          <t>BP-08</t>
        </is>
      </c>
      <c r="B51" s="21" t="inlineStr">
        <is>
          <t>Edit POST</t>
        </is>
      </c>
      <c r="C51" s="21" t="inlineStr">
        <is>
          <t>Basis path</t>
        </is>
      </c>
      <c r="D51" s="21" t="inlineStr">
        <is>
          <t>High</t>
        </is>
      </c>
      <c r="E51" s="21" t="inlineStr">
        <is>
          <t>id != model.Id</t>
        </is>
      </c>
      <c r="F51" s="21" t="inlineStr">
        <is>
          <t>id=1, model.Id=2</t>
        </is>
      </c>
      <c r="G51" s="21" t="inlineStr">
        <is>
          <t>POST Edit</t>
        </is>
      </c>
      <c r="H51" s="21" t="inlineStr">
        <is>
          <t>NotFound (P1)</t>
        </is>
      </c>
      <c r="I51" s="21" t="inlineStr">
        <is>
          <t>Pass</t>
        </is>
      </c>
      <c r="J51" s="21" t="inlineStr">
        <is>
          <t>PO-013 (existing)</t>
        </is>
      </c>
      <c r="K51" s="21" t="n"/>
      <c r="L51" s="22" t="inlineStr">
        <is>
          <t>As expected; test passed.</t>
        </is>
      </c>
      <c r="M51" s="22" t="inlineStr">
        <is>
          <t>Pass</t>
        </is>
      </c>
      <c r="N51" s="22" t="inlineStr">
        <is>
          <t>2026-10-13</t>
        </is>
      </c>
      <c r="O51" s="22" t="inlineStr">
        <is>
          <t>Binoy Dev</t>
        </is>
      </c>
    </row>
    <row r="52" ht="23.85" customHeight="1" s="11">
      <c r="A52" s="21" t="inlineStr">
        <is>
          <t>BP-09</t>
        </is>
      </c>
      <c r="B52" s="21" t="inlineStr">
        <is>
          <t>Edit POST</t>
        </is>
      </c>
      <c r="C52" s="21" t="inlineStr">
        <is>
          <t>Basis path</t>
        </is>
      </c>
      <c r="D52" s="21" t="inlineStr">
        <is>
          <t>Medium</t>
        </is>
      </c>
      <c r="E52" s="21" t="inlineStr">
        <is>
          <t>Service fails with no message</t>
        </is>
      </c>
      <c r="F52" s="21" t="inlineStr">
        <is>
          <t>—</t>
        </is>
      </c>
      <c r="G52" s="21" t="inlineStr">
        <is>
          <t>POST Edit</t>
        </is>
      </c>
      <c r="H52" s="21" t="inlineStr">
        <is>
          <t>Form returned, no model error (P4)</t>
        </is>
      </c>
      <c r="I52" s="21" t="inlineStr">
        <is>
          <t>Pass</t>
        </is>
      </c>
      <c r="J52" s="21" t="inlineStr">
        <is>
          <t>EditPost_ServiceFailureWithoutMessage_ReturnsFormWithoutModelError</t>
        </is>
      </c>
      <c r="K52" s="21" t="n"/>
      <c r="L52" s="22" t="inlineStr">
        <is>
          <t>As expected; test passed.</t>
        </is>
      </c>
      <c r="M52" s="22" t="inlineStr">
        <is>
          <t>Pass</t>
        </is>
      </c>
      <c r="N52" s="22" t="inlineStr">
        <is>
          <t>2026-10-13</t>
        </is>
      </c>
      <c r="O52" s="22" t="inlineStr">
        <is>
          <t>Binoy Dev</t>
        </is>
      </c>
    </row>
    <row r="53" ht="15" customHeight="1" s="11">
      <c r="A53" s="21" t="inlineStr">
        <is>
          <t>BP-10</t>
        </is>
      </c>
      <c r="B53" s="21" t="inlineStr">
        <is>
          <t>Edit POST</t>
        </is>
      </c>
      <c r="C53" s="21" t="inlineStr">
        <is>
          <t>Basis path</t>
        </is>
      </c>
      <c r="D53" s="21" t="inlineStr">
        <is>
          <t>High</t>
        </is>
      </c>
      <c r="E53" s="21" t="inlineStr">
        <is>
          <t>Service succeeds, published</t>
        </is>
      </c>
      <c r="F53" s="21" t="inlineStr">
        <is>
          <t>IsPublished=true</t>
        </is>
      </c>
      <c r="G53" s="21" t="inlineStr">
        <is>
          <t>POST Edit</t>
        </is>
      </c>
      <c r="H53" s="21" t="inlineStr">
        <is>
          <t>Link stored, redirect (P6)</t>
        </is>
      </c>
      <c r="I53" s="21" t="inlineStr">
        <is>
          <t>Pass</t>
        </is>
      </c>
      <c r="J53" s="21" t="inlineStr">
        <is>
          <t>EditPost_PublishedSuccess_StoresPublishedLinkAndRedirects</t>
        </is>
      </c>
      <c r="K53" s="21" t="n"/>
      <c r="L53" s="22" t="inlineStr">
        <is>
          <t>As expected; test passed.</t>
        </is>
      </c>
      <c r="M53" s="22" t="inlineStr">
        <is>
          <t>Pass</t>
        </is>
      </c>
      <c r="N53" s="22" t="inlineStr">
        <is>
          <t>2026-10-13</t>
        </is>
      </c>
      <c r="O53" s="22" t="inlineStr">
        <is>
          <t>Binoy Dev</t>
        </is>
      </c>
    </row>
    <row r="54" ht="15" customHeight="1" s="11">
      <c r="A54" s="21" t="inlineStr">
        <is>
          <t>BP-11</t>
        </is>
      </c>
      <c r="B54" s="21" t="inlineStr">
        <is>
          <t>AddCandidate</t>
        </is>
      </c>
      <c r="C54" s="21" t="inlineStr">
        <is>
          <t>Basis path</t>
        </is>
      </c>
      <c r="D54" s="21" t="inlineStr">
        <is>
          <t>High</t>
        </is>
      </c>
      <c r="E54" s="21" t="inlineStr">
        <is>
          <t>Owner</t>
        </is>
      </c>
      <c r="F54" s="21" t="inlineStr">
        <is>
          <t>name = ''</t>
        </is>
      </c>
      <c r="G54" s="21" t="inlineStr">
        <is>
          <t>POST AddCandidate</t>
        </is>
      </c>
      <c r="H54" s="21" t="inlineStr">
        <is>
          <t>Error + redirect (P1)</t>
        </is>
      </c>
      <c r="I54" s="21" t="inlineStr">
        <is>
          <t>Pass</t>
        </is>
      </c>
      <c r="J54" s="21" t="inlineStr">
        <is>
          <t>PO-022 (existing)</t>
        </is>
      </c>
      <c r="K54" s="21" t="n"/>
      <c r="L54" s="22" t="inlineStr">
        <is>
          <t>As expected; test passed.</t>
        </is>
      </c>
      <c r="M54" s="22" t="inlineStr">
        <is>
          <t>Pass</t>
        </is>
      </c>
      <c r="N54" s="22" t="inlineStr">
        <is>
          <t>2026-10-13</t>
        </is>
      </c>
      <c r="O54" s="22" t="inlineStr">
        <is>
          <t>Binoy Dev</t>
        </is>
      </c>
    </row>
    <row r="55" ht="23.85" customHeight="1" s="11">
      <c r="A55" s="21" t="inlineStr">
        <is>
          <t>BP-12</t>
        </is>
      </c>
      <c r="B55" s="21" t="inlineStr">
        <is>
          <t>AddCandidate</t>
        </is>
      </c>
      <c r="C55" s="21" t="inlineStr">
        <is>
          <t>Basis path</t>
        </is>
      </c>
      <c r="D55" s="21" t="inlineStr">
        <is>
          <t>High</t>
        </is>
      </c>
      <c r="E55" s="21" t="inlineStr">
        <is>
          <t>Admin, program of another owner</t>
        </is>
      </c>
      <c r="F55" s="21" t="inlineStr">
        <is>
          <t>Valid data</t>
        </is>
      </c>
      <c r="G55" s="21" t="inlineStr">
        <is>
          <t>POST AddCandidate</t>
        </is>
      </c>
      <c r="H55" s="21" t="inlineStr">
        <is>
          <t>Saved (P10)</t>
        </is>
      </c>
      <c r="I55" s="21" t="inlineStr">
        <is>
          <t>Pass</t>
        </is>
      </c>
      <c r="J55" s="21" t="inlineStr">
        <is>
          <t>AddCandidate_AdminOnAnotherOwnersProgram_SavesCandidate</t>
        </is>
      </c>
      <c r="K55" s="21" t="n"/>
      <c r="L55" s="22" t="inlineStr">
        <is>
          <t>As expected; test passed.</t>
        </is>
      </c>
      <c r="M55" s="22" t="inlineStr">
        <is>
          <t>Pass</t>
        </is>
      </c>
      <c r="N55" s="22" t="inlineStr">
        <is>
          <t>2026-10-13</t>
        </is>
      </c>
      <c r="O55" s="22" t="inlineStr">
        <is>
          <t>Binoy Dev</t>
        </is>
      </c>
    </row>
    <row r="56" ht="15" customHeight="1" s="11">
      <c r="A56" s="21" t="inlineStr">
        <is>
          <t>BP-13</t>
        </is>
      </c>
      <c r="B56" s="21" t="inlineStr">
        <is>
          <t>AddCandidate</t>
        </is>
      </c>
      <c r="C56" s="21" t="inlineStr">
        <is>
          <t>Basis path</t>
        </is>
      </c>
      <c r="D56" s="21" t="inlineStr">
        <is>
          <t>Medium</t>
        </is>
      </c>
      <c r="E56" s="21" t="inlineStr">
        <is>
          <t>Owner</t>
        </is>
      </c>
      <c r="F56" s="21" t="inlineStr">
        <is>
          <t>imageUrl 'example.com/a.png'</t>
        </is>
      </c>
      <c r="G56" s="21" t="inlineStr">
        <is>
          <t>POST AddCandidate</t>
        </is>
      </c>
      <c r="H56" s="21" t="inlineStr">
        <is>
          <t>Rejected (P19)</t>
        </is>
      </c>
      <c r="I56" s="21" t="inlineStr">
        <is>
          <t>Pass</t>
        </is>
      </c>
      <c r="J56" s="21" t="inlineStr">
        <is>
          <t>PO-036 (existing)</t>
        </is>
      </c>
      <c r="K56" s="21" t="n"/>
      <c r="L56" s="22" t="inlineStr">
        <is>
          <t>As expected; test passed.</t>
        </is>
      </c>
      <c r="M56" s="22" t="inlineStr">
        <is>
          <t>Pass</t>
        </is>
      </c>
      <c r="N56" s="22" t="inlineStr">
        <is>
          <t>2026-10-13</t>
        </is>
      </c>
      <c r="O56" s="22" t="inlineStr">
        <is>
          <t>Binoy Dev</t>
        </is>
      </c>
    </row>
    <row r="57" ht="23.85" customHeight="1" s="11">
      <c r="A57" s="21" t="inlineStr">
        <is>
          <t>BP-14</t>
        </is>
      </c>
      <c r="B57" s="21" t="inlineStr">
        <is>
          <t>DeleteCandidate</t>
        </is>
      </c>
      <c r="C57" s="21" t="inlineStr">
        <is>
          <t>Basis path</t>
        </is>
      </c>
      <c r="D57" s="21" t="inlineStr">
        <is>
          <t>High</t>
        </is>
      </c>
      <c r="E57" s="21" t="inlineStr">
        <is>
          <t>Candidate belongs to another program</t>
        </is>
      </c>
      <c r="F57" s="21" t="inlineStr">
        <is>
          <t>candidateId of program 2, programId 1</t>
        </is>
      </c>
      <c r="G57" s="21" t="inlineStr">
        <is>
          <t>POST DeleteCandidate</t>
        </is>
      </c>
      <c r="H57" s="21" t="inlineStr">
        <is>
          <t>NotFound (P4)</t>
        </is>
      </c>
      <c r="I57" s="21" t="inlineStr">
        <is>
          <t>Pass</t>
        </is>
      </c>
      <c r="J57" s="21" t="inlineStr">
        <is>
          <t>DeleteCandidate_WrongProgram_ReturnsNotFound (PO-043)</t>
        </is>
      </c>
      <c r="K57" s="21" t="n"/>
      <c r="L57" s="22" t="inlineStr">
        <is>
          <t>As expected; test passed.</t>
        </is>
      </c>
      <c r="M57" s="22" t="inlineStr">
        <is>
          <t>Pass</t>
        </is>
      </c>
      <c r="N57" s="22" t="inlineStr">
        <is>
          <t>2026-10-13</t>
        </is>
      </c>
      <c r="O57" s="22" t="inlineStr">
        <is>
          <t>Binoy Dev</t>
        </is>
      </c>
    </row>
    <row r="58" ht="15" customHeight="1" s="11">
      <c r="A58" s="21" t="inlineStr">
        <is>
          <t>BP-15</t>
        </is>
      </c>
      <c r="B58" s="21" t="inlineStr">
        <is>
          <t>DeleteCandidate</t>
        </is>
      </c>
      <c r="C58" s="21" t="inlineStr">
        <is>
          <t>Basis path</t>
        </is>
      </c>
      <c r="D58" s="21" t="inlineStr">
        <is>
          <t>High</t>
        </is>
      </c>
      <c r="E58" s="21" t="inlineStr">
        <is>
          <t>Owner, upcoming program</t>
        </is>
      </c>
      <c r="F58" s="21" t="inlineStr">
        <is>
          <t>Own candidate</t>
        </is>
      </c>
      <c r="G58" s="21" t="inlineStr">
        <is>
          <t>POST DeleteCandidate</t>
        </is>
      </c>
      <c r="H58" s="21" t="inlineStr">
        <is>
          <t>Deleted (P8)</t>
        </is>
      </c>
      <c r="I58" s="21" t="inlineStr">
        <is>
          <t>Pass</t>
        </is>
      </c>
      <c r="J58" s="21" t="inlineStr">
        <is>
          <t>DeleteCandidate_Owner_DeletesCandidate</t>
        </is>
      </c>
      <c r="K58" s="21" t="n"/>
      <c r="L58" s="22" t="inlineStr">
        <is>
          <t>As expected; test passed.</t>
        </is>
      </c>
      <c r="M58" s="22" t="inlineStr">
        <is>
          <t>Pass</t>
        </is>
      </c>
      <c r="N58" s="22" t="inlineStr">
        <is>
          <t>2026-10-13</t>
        </is>
      </c>
      <c r="O58" s="22" t="inlineStr">
        <is>
          <t>Binoy Dev</t>
        </is>
      </c>
    </row>
    <row r="59" ht="15" customHeight="1" s="11">
      <c r="A59" s="21" t="inlineStr">
        <is>
          <t>BP-16</t>
        </is>
      </c>
      <c r="B59" s="21" t="inlineStr">
        <is>
          <t>Results</t>
        </is>
      </c>
      <c r="C59" s="21" t="inlineStr">
        <is>
          <t>Basis path</t>
        </is>
      </c>
      <c r="D59" s="21" t="inlineStr">
        <is>
          <t>Medium</t>
        </is>
      </c>
      <c r="E59" s="21" t="inlineStr">
        <is>
          <t>Admin, program of another owner</t>
        </is>
      </c>
      <c r="F59" s="21" t="inlineStr">
        <is>
          <t>—</t>
        </is>
      </c>
      <c r="G59" s="21" t="inlineStr">
        <is>
          <t>GET Results</t>
        </is>
      </c>
      <c r="H59" s="21" t="inlineStr">
        <is>
          <t>View returned (P4)</t>
        </is>
      </c>
      <c r="I59" s="21" t="inlineStr">
        <is>
          <t>Pass</t>
        </is>
      </c>
      <c r="J59" s="21" t="inlineStr">
        <is>
          <t>Results_AdminOnAnotherOwnersProgram_ReturnsView</t>
        </is>
      </c>
      <c r="K59" s="21" t="n"/>
      <c r="L59" s="22" t="inlineStr">
        <is>
          <t>As expected; test passed.</t>
        </is>
      </c>
      <c r="M59" s="22" t="inlineStr">
        <is>
          <t>Pass</t>
        </is>
      </c>
      <c r="N59" s="22" t="inlineStr">
        <is>
          <t>2026-10-13</t>
        </is>
      </c>
      <c r="O59" s="22" t="inlineStr">
        <is>
          <t>Binoy Dev</t>
        </is>
      </c>
    </row>
    <row r="60" ht="15" customHeight="1" s="11">
      <c r="A60" s="21" t="inlineStr">
        <is>
          <t>BP-17</t>
        </is>
      </c>
      <c r="B60" s="21" t="inlineStr">
        <is>
          <t>RegisterVoter POST</t>
        </is>
      </c>
      <c r="C60" s="21" t="inlineStr">
        <is>
          <t>Basis path</t>
        </is>
      </c>
      <c r="D60" s="21" t="inlineStr">
        <is>
          <t>High</t>
        </is>
      </c>
      <c r="E60" s="21" t="inlineStr">
        <is>
          <t>Service fails</t>
        </is>
      </c>
      <c r="F60" s="21" t="inlineStr">
        <is>
          <t>—</t>
        </is>
      </c>
      <c r="G60" s="21" t="inlineStr">
        <is>
          <t>POST RegisterVoter</t>
        </is>
      </c>
      <c r="H60" s="21" t="inlineStr">
        <is>
          <t>Redirect with error (P4)</t>
        </is>
      </c>
      <c r="I60" s="21" t="inlineStr">
        <is>
          <t>Pass</t>
        </is>
      </c>
      <c r="J60" s="21" t="inlineStr">
        <is>
          <t>PO-054 (existing)</t>
        </is>
      </c>
      <c r="K60" s="21" t="n"/>
      <c r="L60" s="22" t="inlineStr">
        <is>
          <t>As expected; test passed.</t>
        </is>
      </c>
      <c r="M60" s="22" t="inlineStr">
        <is>
          <t>Pass</t>
        </is>
      </c>
      <c r="N60" s="22" t="inlineStr">
        <is>
          <t>2026-10-13</t>
        </is>
      </c>
      <c r="O60" s="22" t="inlineStr">
        <is>
          <t>Binoy Dev</t>
        </is>
      </c>
    </row>
    <row r="61" ht="23.85" customHeight="1" s="11">
      <c r="A61" s="21" t="inlineStr">
        <is>
          <t>BP-18</t>
        </is>
      </c>
      <c r="B61" s="21" t="inlineStr">
        <is>
          <t>RegisterVoter POST</t>
        </is>
      </c>
      <c r="C61" s="21" t="inlineStr">
        <is>
          <t>Basis path</t>
        </is>
      </c>
      <c r="D61" s="21" t="inlineStr">
        <is>
          <t>Medium</t>
        </is>
      </c>
      <c r="E61" s="21" t="inlineStr">
        <is>
          <t>Admin, program of another owner</t>
        </is>
      </c>
      <c r="F61" s="21" t="inlineStr">
        <is>
          <t>Valid voter</t>
        </is>
      </c>
      <c r="G61" s="21" t="inlineStr">
        <is>
          <t>POST RegisterVoter</t>
        </is>
      </c>
      <c r="H61" s="21" t="inlineStr">
        <is>
          <t>Service called (P3)</t>
        </is>
      </c>
      <c r="I61" s="21" t="inlineStr">
        <is>
          <t>Pass</t>
        </is>
      </c>
      <c r="J61" s="21" t="inlineStr">
        <is>
          <t>RegisterVoterPost_AdminOnAnotherOwnersProgram_CallsService</t>
        </is>
      </c>
      <c r="K61" s="21" t="n"/>
      <c r="L61" s="22" t="inlineStr">
        <is>
          <t>As expected; test passed.</t>
        </is>
      </c>
      <c r="M61" s="22" t="inlineStr">
        <is>
          <t>Pass</t>
        </is>
      </c>
      <c r="N61" s="22" t="inlineStr">
        <is>
          <t>2026-10-13</t>
        </is>
      </c>
      <c r="O61" s="22" t="inlineStr">
        <is>
          <t>Binoy Dev</t>
        </is>
      </c>
    </row>
    <row r="62" ht="15" customHeight="1" s="11">
      <c r="A62" s="21" t="inlineStr">
        <is>
          <t>BP-19</t>
        </is>
      </c>
      <c r="B62" s="21" t="inlineStr">
        <is>
          <t>Delete</t>
        </is>
      </c>
      <c r="C62" s="21" t="inlineStr">
        <is>
          <t>Basis path</t>
        </is>
      </c>
      <c r="D62" s="21" t="inlineStr">
        <is>
          <t>High</t>
        </is>
      </c>
      <c r="E62" s="21" t="inlineStr">
        <is>
          <t>Published, active program</t>
        </is>
      </c>
      <c r="F62" s="21" t="inlineStr">
        <is>
          <t>—</t>
        </is>
      </c>
      <c r="G62" s="21" t="inlineStr">
        <is>
          <t>POST Delete</t>
        </is>
      </c>
      <c r="H62" s="21" t="inlineStr">
        <is>
          <t>Refused with error (P6)</t>
        </is>
      </c>
      <c r="I62" s="21" t="inlineStr">
        <is>
          <t>Pass</t>
        </is>
      </c>
      <c r="J62" s="21" t="inlineStr">
        <is>
          <t>PO-061 (existing)</t>
        </is>
      </c>
      <c r="K62" s="21" t="n"/>
      <c r="L62" s="22" t="inlineStr">
        <is>
          <t>As expected; test passed.</t>
        </is>
      </c>
      <c r="M62" s="22" t="inlineStr">
        <is>
          <t>Pass</t>
        </is>
      </c>
      <c r="N62" s="22" t="inlineStr">
        <is>
          <t>2026-10-13</t>
        </is>
      </c>
      <c r="O62" s="22" t="inlineStr">
        <is>
          <t>Binoy Dev</t>
        </is>
      </c>
    </row>
    <row r="63" ht="15" customHeight="1" s="11">
      <c r="A63" s="21" t="inlineStr">
        <is>
          <t>BP-20</t>
        </is>
      </c>
      <c r="B63" s="21" t="inlineStr">
        <is>
          <t>Delete</t>
        </is>
      </c>
      <c r="C63" s="21" t="inlineStr">
        <is>
          <t>Basis path</t>
        </is>
      </c>
      <c r="D63" s="21" t="inlineStr">
        <is>
          <t>Medium</t>
        </is>
      </c>
      <c r="E63" s="21" t="inlineStr">
        <is>
          <t>Unpublished program</t>
        </is>
      </c>
      <c r="F63" s="21" t="inlineStr">
        <is>
          <t>—</t>
        </is>
      </c>
      <c r="G63" s="21" t="inlineStr">
        <is>
          <t>POST Delete</t>
        </is>
      </c>
      <c r="H63" s="21" t="inlineStr">
        <is>
          <t>Deleted (P4)</t>
        </is>
      </c>
      <c r="I63" s="21" t="inlineStr">
        <is>
          <t>Pass</t>
        </is>
      </c>
      <c r="J63" s="21" t="inlineStr">
        <is>
          <t>Delete_UnpublishedProgram_RemovesProgram</t>
        </is>
      </c>
      <c r="K63" s="21" t="n"/>
      <c r="L63" s="22" t="inlineStr">
        <is>
          <t>As expected; test passed.</t>
        </is>
      </c>
      <c r="M63" s="22" t="inlineStr">
        <is>
          <t>Pass</t>
        </is>
      </c>
      <c r="N63" s="22" t="inlineStr">
        <is>
          <t>2026-10-13</t>
        </is>
      </c>
      <c r="O63" s="22" t="inlineStr">
        <is>
          <t>Binoy Dev</t>
        </is>
      </c>
    </row>
  </sheetData>
  <autoFilter ref="A3:O63"/>
  <dataValidations count="1">
    <dataValidation sqref="M4:M63" showDropDown="0" showInputMessage="0" showErrorMessage="0" allowBlank="0" type="list" errorStyle="stop" operator="between">
      <formula1>"Not run,Pass,Fail,Blocked"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0" min="1" max="1"/>
    <col width="24" customWidth="1" style="10" min="2" max="2"/>
    <col width="36" customWidth="1" style="10" min="3" max="3"/>
    <col width="14" customWidth="1" style="10" min="4" max="4"/>
    <col width="12" customWidth="1" style="10" min="5" max="5"/>
    <col width="10" customWidth="1" style="10" min="6" max="6"/>
    <col width="16" customWidth="1" style="10" min="7" max="7"/>
    <col width="10" customWidth="1" style="10" min="8" max="9"/>
    <col width="12" customWidth="1" style="10" min="10" max="10"/>
    <col width="36" customWidth="1" style="10" min="11" max="11"/>
    <col width="14" customWidth="1" style="10" min="12" max="12"/>
  </cols>
  <sheetData>
    <row r="1" ht="17.35" customHeight="1" s="11">
      <c r="A1" s="12" t="inlineStr">
        <is>
          <t>Boundary Value Analysis</t>
        </is>
      </c>
    </row>
    <row r="2" ht="15" customHeight="1" s="11">
      <c r="A2" s="20" t="inlineStr">
        <is>
          <t>Seven-point boundary values (min-1, min, min+1, nominal, max-1, max, max+1) for every bounded input. All listed points are executed by an automated test (run 2026-10-13).</t>
        </is>
      </c>
    </row>
    <row r="4" ht="15" customHeight="1" s="11">
      <c r="A4" s="14" t="inlineStr">
        <is>
          <t>Input</t>
        </is>
      </c>
      <c r="B4" s="14" t="inlineStr">
        <is>
          <t>Function</t>
        </is>
      </c>
      <c r="C4" s="14" t="inlineStr">
        <is>
          <t>Constraint (source)</t>
        </is>
      </c>
      <c r="D4" s="14" t="inlineStr">
        <is>
          <t>Below min</t>
        </is>
      </c>
      <c r="E4" s="14" t="inlineStr">
        <is>
          <t>Min</t>
        </is>
      </c>
      <c r="F4" s="14" t="inlineStr">
        <is>
          <t>Min+1</t>
        </is>
      </c>
      <c r="G4" s="14" t="inlineStr">
        <is>
          <t>Nominal</t>
        </is>
      </c>
      <c r="H4" s="14" t="inlineStr">
        <is>
          <t>Max-1</t>
        </is>
      </c>
      <c r="I4" s="14" t="inlineStr">
        <is>
          <t>Max</t>
        </is>
      </c>
      <c r="J4" s="14" t="inlineStr">
        <is>
          <t>Above max</t>
        </is>
      </c>
      <c r="K4" s="14" t="inlineStr">
        <is>
          <t>Expected behaviour</t>
        </is>
      </c>
      <c r="L4" s="14" t="inlineStr">
        <is>
          <t>Test cases</t>
        </is>
      </c>
    </row>
    <row r="5" ht="23.85" customHeight="1" s="11">
      <c r="A5" s="21" t="inlineStr">
        <is>
          <t>Program duration (seconds)</t>
        </is>
      </c>
      <c r="B5" s="21" t="inlineStr">
        <is>
          <t>Create/Edit (service)</t>
        </is>
      </c>
      <c r="C5" s="21" t="inlineStr">
        <is>
          <t>End - Start &gt;= 300 s (MinimumProgramDuration)</t>
        </is>
      </c>
      <c r="D5" s="21" t="inlineStr">
        <is>
          <t>299</t>
        </is>
      </c>
      <c r="E5" s="21" t="inlineStr">
        <is>
          <t>300</t>
        </is>
      </c>
      <c r="F5" s="21" t="inlineStr">
        <is>
          <t>301</t>
        </is>
      </c>
      <c r="G5" s="21" t="inlineStr">
        <is>
          <t>3600</t>
        </is>
      </c>
      <c r="H5" s="21" t="inlineStr">
        <is>
          <t>—</t>
        </is>
      </c>
      <c r="I5" s="21" t="inlineStr">
        <is>
          <t>—</t>
        </is>
      </c>
      <c r="J5" s="21" t="inlineStr">
        <is>
          <t>—</t>
        </is>
      </c>
      <c r="K5" s="21" t="inlineStr">
        <is>
          <t>&lt;300 rejected; &gt;=300 accepted</t>
        </is>
      </c>
      <c r="L5" s="21" t="inlineStr">
        <is>
          <t>BVA-01..03</t>
        </is>
      </c>
    </row>
    <row r="6" ht="15" customHeight="1" s="11">
      <c r="A6" s="21" t="inlineStr">
        <is>
          <t>ProgramName length</t>
        </is>
      </c>
      <c r="B6" s="21" t="inlineStr">
        <is>
          <t>Create/Edit POST</t>
        </is>
      </c>
      <c r="C6" s="21" t="inlineStr">
        <is>
          <t>3..200 (model StringLength)</t>
        </is>
      </c>
      <c r="D6" s="21" t="inlineStr">
        <is>
          <t>2</t>
        </is>
      </c>
      <c r="E6" s="21" t="inlineStr">
        <is>
          <t>3</t>
        </is>
      </c>
      <c r="F6" s="21" t="inlineStr">
        <is>
          <t>4</t>
        </is>
      </c>
      <c r="G6" s="21" t="inlineStr">
        <is>
          <t>20</t>
        </is>
      </c>
      <c r="H6" s="21" t="inlineStr">
        <is>
          <t>199</t>
        </is>
      </c>
      <c r="I6" s="21" t="inlineStr">
        <is>
          <t>200</t>
        </is>
      </c>
      <c r="J6" s="21" t="inlineStr">
        <is>
          <t>201</t>
        </is>
      </c>
      <c r="K6" s="21" t="inlineStr">
        <is>
          <t>Outside range -&gt; validation error</t>
        </is>
      </c>
      <c r="L6" s="21" t="inlineStr">
        <is>
          <t>BVA-04..07</t>
        </is>
      </c>
    </row>
    <row r="7" ht="15" customHeight="1" s="11">
      <c r="A7" s="21" t="inlineStr">
        <is>
          <t>Description length</t>
        </is>
      </c>
      <c r="B7" s="21" t="inlineStr">
        <is>
          <t>Create/Edit POST</t>
        </is>
      </c>
      <c r="C7" s="21" t="inlineStr">
        <is>
          <t>&lt;= 2000 (model)</t>
        </is>
      </c>
      <c r="D7" s="21" t="inlineStr">
        <is>
          <t>—</t>
        </is>
      </c>
      <c r="E7" s="21" t="inlineStr">
        <is>
          <t>0</t>
        </is>
      </c>
      <c r="F7" s="21" t="inlineStr">
        <is>
          <t>1</t>
        </is>
      </c>
      <c r="G7" s="21" t="inlineStr">
        <is>
          <t>200</t>
        </is>
      </c>
      <c r="H7" s="21" t="inlineStr">
        <is>
          <t>1999</t>
        </is>
      </c>
      <c r="I7" s="21" t="inlineStr">
        <is>
          <t>2000</t>
        </is>
      </c>
      <c r="J7" s="21" t="inlineStr">
        <is>
          <t>2001</t>
        </is>
      </c>
      <c r="K7" s="21" t="inlineStr">
        <is>
          <t>2001 -&gt; validation error</t>
        </is>
      </c>
      <c r="L7" s="21" t="inlineStr">
        <is>
          <t>BVA-08</t>
        </is>
      </c>
    </row>
    <row r="8" ht="15" customHeight="1" s="11">
      <c r="A8" s="21" t="inlineStr">
        <is>
          <t>Candidate name length</t>
        </is>
      </c>
      <c r="B8" s="21" t="inlineStr">
        <is>
          <t>AddCandidate</t>
        </is>
      </c>
      <c r="C8" s="21" t="inlineStr">
        <is>
          <t>2..150 (model; enforced in the action since 4896cce)</t>
        </is>
      </c>
      <c r="D8" s="21" t="inlineStr">
        <is>
          <t>1</t>
        </is>
      </c>
      <c r="E8" s="21" t="inlineStr">
        <is>
          <t>2</t>
        </is>
      </c>
      <c r="F8" s="21" t="inlineStr">
        <is>
          <t>3</t>
        </is>
      </c>
      <c r="G8" s="21" t="inlineStr">
        <is>
          <t>12</t>
        </is>
      </c>
      <c r="H8" s="21" t="inlineStr">
        <is>
          <t>149</t>
        </is>
      </c>
      <c r="I8" s="21" t="inlineStr">
        <is>
          <t>150</t>
        </is>
      </c>
      <c r="J8" s="21" t="inlineStr">
        <is>
          <t>151</t>
        </is>
      </c>
      <c r="K8" s="21" t="inlineStr">
        <is>
          <t>Outside range rejected (D07, D08 fixed)</t>
        </is>
      </c>
      <c r="L8" s="21" t="inlineStr">
        <is>
          <t>BVA-09..12</t>
        </is>
      </c>
    </row>
    <row r="9" ht="15" customHeight="1" s="11">
      <c r="A9" s="21" t="inlineStr">
        <is>
          <t>Candidate code length</t>
        </is>
      </c>
      <c r="B9" s="21" t="inlineStr">
        <is>
          <t>AddCandidate</t>
        </is>
      </c>
      <c r="C9" s="21" t="inlineStr">
        <is>
          <t>1..50 (model; enforced in the action since 4896cce)</t>
        </is>
      </c>
      <c r="D9" s="21" t="inlineStr">
        <is>
          <t>0 (blank)</t>
        </is>
      </c>
      <c r="E9" s="21" t="inlineStr">
        <is>
          <t>1</t>
        </is>
      </c>
      <c r="F9" s="21" t="inlineStr">
        <is>
          <t>2</t>
        </is>
      </c>
      <c r="G9" s="21" t="inlineStr">
        <is>
          <t>6</t>
        </is>
      </c>
      <c r="H9" s="21" t="inlineStr">
        <is>
          <t>49</t>
        </is>
      </c>
      <c r="I9" s="21" t="inlineStr">
        <is>
          <t>50</t>
        </is>
      </c>
      <c r="J9" s="21" t="inlineStr">
        <is>
          <t>51</t>
        </is>
      </c>
      <c r="K9" s="21" t="inlineStr">
        <is>
          <t>Outside range rejected (D08 fixed)</t>
        </is>
      </c>
      <c r="L9" s="21" t="inlineStr">
        <is>
          <t>BVA-10,11,13</t>
        </is>
      </c>
    </row>
    <row r="10" ht="15" customHeight="1" s="11">
      <c r="A10" s="21" t="inlineStr">
        <is>
          <t>Candidate description length</t>
        </is>
      </c>
      <c r="B10" s="21" t="inlineStr">
        <is>
          <t>AddCandidate</t>
        </is>
      </c>
      <c r="C10" s="21" t="inlineStr">
        <is>
          <t>&lt;= 500</t>
        </is>
      </c>
      <c r="D10" s="21" t="inlineStr">
        <is>
          <t>—</t>
        </is>
      </c>
      <c r="E10" s="21" t="inlineStr">
        <is>
          <t>0</t>
        </is>
      </c>
      <c r="F10" s="21" t="inlineStr">
        <is>
          <t>1</t>
        </is>
      </c>
      <c r="G10" s="21" t="inlineStr">
        <is>
          <t>80</t>
        </is>
      </c>
      <c r="H10" s="21" t="inlineStr">
        <is>
          <t>499</t>
        </is>
      </c>
      <c r="I10" s="21" t="inlineStr">
        <is>
          <t>500</t>
        </is>
      </c>
      <c r="J10" s="21" t="inlineStr">
        <is>
          <t>501</t>
        </is>
      </c>
      <c r="K10" s="21" t="inlineStr">
        <is>
          <t>501 rejected (D08 fixed)</t>
        </is>
      </c>
      <c r="L10" s="21" t="inlineStr">
        <is>
          <t>BVA-14</t>
        </is>
      </c>
    </row>
    <row r="11" ht="15" customHeight="1" s="11">
      <c r="A11" s="21" t="inlineStr">
        <is>
          <t>Image URL length</t>
        </is>
      </c>
      <c r="B11" s="21" t="inlineStr">
        <is>
          <t>AddCandidate</t>
        </is>
      </c>
      <c r="C11" s="21" t="inlineStr">
        <is>
          <t>&lt;= 500</t>
        </is>
      </c>
      <c r="D11" s="21" t="inlineStr">
        <is>
          <t>—</t>
        </is>
      </c>
      <c r="E11" s="21" t="inlineStr">
        <is>
          <t>1</t>
        </is>
      </c>
      <c r="F11" s="21" t="inlineStr">
        <is>
          <t>2</t>
        </is>
      </c>
      <c r="G11" s="21" t="inlineStr">
        <is>
          <t>40</t>
        </is>
      </c>
      <c r="H11" s="21" t="inlineStr">
        <is>
          <t>499</t>
        </is>
      </c>
      <c r="I11" s="21" t="inlineStr">
        <is>
          <t>500</t>
        </is>
      </c>
      <c r="J11" s="21" t="inlineStr">
        <is>
          <t>501</t>
        </is>
      </c>
      <c r="K11" s="21" t="inlineStr">
        <is>
          <t>501 rejected (D08 fixed)</t>
        </is>
      </c>
      <c r="L11" s="21" t="inlineStr">
        <is>
          <t>BVA-15</t>
        </is>
      </c>
    </row>
    <row r="12" ht="23.85" customHeight="1" s="11">
      <c r="A12" s="21" t="inlineStr">
        <is>
          <t>Program / candidate / voter id</t>
        </is>
      </c>
      <c r="B12" s="21" t="inlineStr">
        <is>
          <t>Edit, ManageCandidates, Delete, …</t>
        </is>
      </c>
      <c r="C12" s="21" t="inlineStr">
        <is>
          <t>Positive existing id</t>
        </is>
      </c>
      <c r="D12" s="21" t="inlineStr">
        <is>
          <t>int.MinValue, -1, 0</t>
        </is>
      </c>
      <c r="E12" s="21" t="inlineStr">
        <is>
          <t>1 (existing)</t>
        </is>
      </c>
      <c r="F12" s="21" t="inlineStr">
        <is>
          <t>2</t>
        </is>
      </c>
      <c r="G12" s="21" t="inlineStr">
        <is>
          <t>—</t>
        </is>
      </c>
      <c r="H12" s="21" t="inlineStr">
        <is>
          <t>—</t>
        </is>
      </c>
      <c r="I12" s="21" t="inlineStr">
        <is>
          <t>—</t>
        </is>
      </c>
      <c r="J12" s="21" t="inlineStr">
        <is>
          <t>int.MaxValue</t>
        </is>
      </c>
      <c r="K12" s="21" t="inlineStr">
        <is>
          <t>Non-existing ids -&gt; 404</t>
        </is>
      </c>
      <c r="L12" s="21" t="inlineStr">
        <is>
          <t>BVA-16..19</t>
        </is>
      </c>
    </row>
    <row r="13" ht="23.85" customHeight="1" s="11">
      <c r="A13" s="21" t="inlineStr">
        <is>
          <t>Election end time vs now (delete)</t>
        </is>
      </c>
      <c r="B13" s="21" t="inlineStr">
        <is>
          <t>Delete</t>
        </is>
      </c>
      <c r="C13" s="21" t="inlineStr">
        <is>
          <t>HasEnded = now &gt;= EndTime</t>
        </is>
      </c>
      <c r="D13" s="21" t="inlineStr">
        <is>
          <t>EndTime = now+60 s</t>
        </is>
      </c>
      <c r="E13" s="21" t="inlineStr">
        <is>
          <t>—</t>
        </is>
      </c>
      <c r="F13" s="21" t="inlineStr">
        <is>
          <t>—</t>
        </is>
      </c>
      <c r="G13" s="21" t="inlineStr">
        <is>
          <t>—</t>
        </is>
      </c>
      <c r="H13" s="21" t="inlineStr">
        <is>
          <t>—</t>
        </is>
      </c>
      <c r="I13" s="21" t="inlineStr">
        <is>
          <t>—</t>
        </is>
      </c>
      <c r="J13" s="21" t="inlineStr">
        <is>
          <t>EndTime = now-1 s</t>
        </is>
      </c>
      <c r="K13" s="21" t="inlineStr">
        <is>
          <t>Active: refused; ended: deleted</t>
        </is>
      </c>
      <c r="L13" s="21" t="inlineStr">
        <is>
          <t>BVA-20</t>
        </is>
      </c>
    </row>
    <row r="14" ht="15" customHeight="1" s="11">
      <c r="A14" s="21" t="inlineStr">
        <is>
          <t>Voter name length</t>
        </is>
      </c>
      <c r="B14" s="21" t="inlineStr">
        <is>
          <t>RegisterVoter (service)</t>
        </is>
      </c>
      <c r="C14" s="21" t="inlineStr">
        <is>
          <t>2..150 (model; enforced in the service since 4896cce)</t>
        </is>
      </c>
      <c r="D14" s="21" t="inlineStr">
        <is>
          <t>1</t>
        </is>
      </c>
      <c r="E14" s="21" t="inlineStr">
        <is>
          <t>2</t>
        </is>
      </c>
      <c r="F14" s="21" t="inlineStr">
        <is>
          <t>3</t>
        </is>
      </c>
      <c r="G14" s="21" t="inlineStr">
        <is>
          <t>12</t>
        </is>
      </c>
      <c r="H14" s="21" t="inlineStr">
        <is>
          <t>149</t>
        </is>
      </c>
      <c r="I14" s="21" t="inlineStr">
        <is>
          <t>150</t>
        </is>
      </c>
      <c r="J14" s="21" t="inlineStr">
        <is>
          <t>151</t>
        </is>
      </c>
      <c r="K14" s="21" t="inlineStr">
        <is>
          <t>Outside range rejected (D29 fixed)</t>
        </is>
      </c>
      <c r="L14" s="21" t="inlineStr">
        <is>
          <t>D29_RegisterVoter_NameLengthBoundary_IsEnforced (7 points)</t>
        </is>
      </c>
    </row>
    <row r="15" ht="23.85" customHeight="1" s="11">
      <c r="A15" s="21" t="inlineStr">
        <is>
          <t>Voter email</t>
        </is>
      </c>
      <c r="B15" s="21" t="inlineStr">
        <is>
          <t>RegisterVoter (service)</t>
        </is>
      </c>
      <c r="C15" s="21" t="inlineStr">
        <is>
          <t>valid format</t>
        </is>
      </c>
      <c r="D15" s="21" t="inlineStr">
        <is>
          <t>'not-an-email'</t>
        </is>
      </c>
      <c r="E15" s="21" t="inlineStr">
        <is>
          <t>—</t>
        </is>
      </c>
      <c r="F15" s="21" t="inlineStr">
        <is>
          <t>—</t>
        </is>
      </c>
      <c r="G15" s="21" t="inlineStr">
        <is>
          <t>name@example.com</t>
        </is>
      </c>
      <c r="H15" s="21" t="inlineStr">
        <is>
          <t>—</t>
        </is>
      </c>
      <c r="I15" s="21" t="inlineStr">
        <is>
          <t>—</t>
        </is>
      </c>
      <c r="J15" s="21" t="inlineStr">
        <is>
          <t>—</t>
        </is>
      </c>
      <c r="K15" s="21" t="inlineStr">
        <is>
          <t>Invalid format rejected (D14 fixed)</t>
        </is>
      </c>
      <c r="L15" s="21" t="inlineStr">
        <is>
          <t>ECT-18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0" min="1" max="1"/>
    <col width="7" customWidth="1" style="10" min="2" max="2"/>
    <col width="38" customWidth="1" style="10" min="3" max="3"/>
    <col width="20" customWidth="1" style="10" min="4" max="4"/>
    <col width="36" customWidth="1" style="10" min="5" max="5"/>
    <col width="40" customWidth="1" style="10" min="6" max="6"/>
    <col width="26" customWidth="1" style="10" min="7" max="7"/>
  </cols>
  <sheetData>
    <row r="1" ht="17.35" customHeight="1" s="11">
      <c r="A1" s="12" t="inlineStr">
        <is>
          <t>Equivalence Class Testing</t>
        </is>
      </c>
    </row>
    <row r="3" ht="15" customHeight="1" s="11">
      <c r="A3" s="14" t="inlineStr">
        <is>
          <t>Input</t>
        </is>
      </c>
      <c r="B3" s="14" t="inlineStr">
        <is>
          <t>Class</t>
        </is>
      </c>
      <c r="C3" s="14" t="inlineStr">
        <is>
          <t>Description</t>
        </is>
      </c>
      <c r="D3" s="14" t="inlineStr">
        <is>
          <t>Valid / invalid</t>
        </is>
      </c>
      <c r="E3" s="14" t="inlineStr">
        <is>
          <t>Representative value</t>
        </is>
      </c>
      <c r="F3" s="14" t="inlineStr">
        <is>
          <t>Expected</t>
        </is>
      </c>
      <c r="G3" s="14" t="inlineStr">
        <is>
          <t>Test cases</t>
        </is>
      </c>
    </row>
    <row r="4" ht="15" customHeight="1" s="11">
      <c r="A4" s="21" t="inlineStr">
        <is>
          <t>Caller identity</t>
        </is>
      </c>
      <c r="B4" s="21" t="inlineStr">
        <is>
          <t>EC1</t>
        </is>
      </c>
      <c r="C4" s="21" t="inlineStr">
        <is>
          <t>Program owner</t>
        </is>
      </c>
      <c r="D4" s="21" t="inlineStr">
        <is>
          <t>Valid</t>
        </is>
      </c>
      <c r="E4" s="21" t="inlineStr">
        <is>
          <t>owner-1 on own program</t>
        </is>
      </c>
      <c r="F4" s="21" t="inlineStr">
        <is>
          <t>Action allowed</t>
        </is>
      </c>
      <c r="G4" s="21" t="inlineStr">
        <is>
          <t>ECT-01</t>
        </is>
      </c>
    </row>
    <row r="5" ht="15" customHeight="1" s="11">
      <c r="A5" s="21" t="inlineStr">
        <is>
          <t>Caller identity</t>
        </is>
      </c>
      <c r="B5" s="21" t="inlineStr">
        <is>
          <t>EC2</t>
        </is>
      </c>
      <c r="C5" s="21" t="inlineStr">
        <is>
          <t>Admin on another owner's program</t>
        </is>
      </c>
      <c r="D5" s="21" t="inlineStr">
        <is>
          <t>Valid</t>
        </is>
      </c>
      <c r="E5" s="21" t="inlineStr">
        <is>
          <t>admin-1 with Admin role</t>
        </is>
      </c>
      <c r="F5" s="21" t="inlineStr">
        <is>
          <t>Action allowed</t>
        </is>
      </c>
      <c r="G5" s="21" t="inlineStr">
        <is>
          <t>ECT-02, BP-12, BP-16, BP-18</t>
        </is>
      </c>
    </row>
    <row r="6" ht="15" customHeight="1" s="11">
      <c r="A6" s="21" t="inlineStr">
        <is>
          <t>Caller identity</t>
        </is>
      </c>
      <c r="B6" s="21" t="inlineStr">
        <is>
          <t>EC3</t>
        </is>
      </c>
      <c r="C6" s="21" t="inlineStr">
        <is>
          <t>Authenticated non-owner, non-admin</t>
        </is>
      </c>
      <c r="D6" s="21" t="inlineStr">
        <is>
          <t>Invalid</t>
        </is>
      </c>
      <c r="E6" s="21" t="inlineStr">
        <is>
          <t>owner-1 on owner-2's program</t>
        </is>
      </c>
      <c r="F6" s="21" t="inlineStr">
        <is>
          <t>Forbid</t>
        </is>
      </c>
      <c r="G6" s="21" t="inlineStr">
        <is>
          <t>ECT-03</t>
        </is>
      </c>
    </row>
    <row r="7" ht="15" customHeight="1" s="11">
      <c r="A7" s="21" t="inlineStr">
        <is>
          <t>Caller identity</t>
        </is>
      </c>
      <c r="B7" s="21" t="inlineStr">
        <is>
          <t>EC4</t>
        </is>
      </c>
      <c r="C7" s="21" t="inlineStr">
        <is>
          <t>No user id claim</t>
        </is>
      </c>
      <c r="D7" s="21" t="inlineStr">
        <is>
          <t>Invalid</t>
        </is>
      </c>
      <c r="E7" s="21" t="inlineStr">
        <is>
          <t>—</t>
        </is>
      </c>
      <c r="F7" s="21" t="inlineStr">
        <is>
          <t>Unauthorized</t>
        </is>
      </c>
      <c r="G7" s="21" t="inlineStr">
        <is>
          <t>ECT-04</t>
        </is>
      </c>
    </row>
    <row r="8" ht="15" customHeight="1" s="11">
      <c r="A8" s="21" t="inlineStr">
        <is>
          <t>Resource id</t>
        </is>
      </c>
      <c r="B8" s="21" t="inlineStr">
        <is>
          <t>EC5</t>
        </is>
      </c>
      <c r="C8" s="21" t="inlineStr">
        <is>
          <t>Program/candidate exists</t>
        </is>
      </c>
      <c r="D8" s="21" t="inlineStr">
        <is>
          <t>Valid</t>
        </is>
      </c>
      <c r="E8" s="21" t="inlineStr">
        <is>
          <t>1</t>
        </is>
      </c>
      <c r="F8" s="21" t="inlineStr">
        <is>
          <t>Proceeds to ownership check</t>
        </is>
      </c>
      <c r="G8" s="21" t="inlineStr">
        <is>
          <t>ECT-01</t>
        </is>
      </c>
    </row>
    <row r="9" ht="15" customHeight="1" s="11">
      <c r="A9" s="21" t="inlineStr">
        <is>
          <t>Resource id</t>
        </is>
      </c>
      <c r="B9" s="21" t="inlineStr">
        <is>
          <t>EC6</t>
        </is>
      </c>
      <c r="C9" s="21" t="inlineStr">
        <is>
          <t>Program/candidate missing</t>
        </is>
      </c>
      <c r="D9" s="21" t="inlineStr">
        <is>
          <t>Invalid</t>
        </is>
      </c>
      <c r="E9" s="21" t="inlineStr">
        <is>
          <t>999</t>
        </is>
      </c>
      <c r="F9" s="21" t="inlineStr">
        <is>
          <t>NotFound</t>
        </is>
      </c>
      <c r="G9" s="21" t="inlineStr">
        <is>
          <t>ECT-05</t>
        </is>
      </c>
    </row>
    <row r="10" ht="15" customHeight="1" s="11">
      <c r="A10" s="21" t="inlineStr">
        <is>
          <t>Program state</t>
        </is>
      </c>
      <c r="B10" s="21" t="inlineStr">
        <is>
          <t>EC7</t>
        </is>
      </c>
      <c r="C10" s="21" t="inlineStr">
        <is>
          <t>Draft / upcoming</t>
        </is>
      </c>
      <c r="D10" s="21" t="inlineStr">
        <is>
          <t>Valid for edits</t>
        </is>
      </c>
      <c r="E10" s="21" t="inlineStr">
        <is>
          <t>IsPublished=false, start in future</t>
        </is>
      </c>
      <c r="F10" s="21" t="inlineStr">
        <is>
          <t>Edits and deletes allowed</t>
        </is>
      </c>
      <c r="G10" s="21" t="inlineStr">
        <is>
          <t>BP-20</t>
        </is>
      </c>
    </row>
    <row r="11" ht="23.85" customHeight="1" s="11">
      <c r="A11" s="21" t="inlineStr">
        <is>
          <t>Program state</t>
        </is>
      </c>
      <c r="B11" s="21" t="inlineStr">
        <is>
          <t>EC8</t>
        </is>
      </c>
      <c r="C11" s="21" t="inlineStr">
        <is>
          <t>Active (started, not ended)</t>
        </is>
      </c>
      <c r="D11" s="21" t="inlineStr">
        <is>
          <t>Invalid for ballot changes</t>
        </is>
      </c>
      <c r="E11" s="21" t="inlineStr">
        <is>
          <t>Start -1h, End +1h, published</t>
        </is>
      </c>
      <c r="F11" s="21" t="inlineStr">
        <is>
          <t>Candidate add/delete, voter registration and rescheduling rejected</t>
        </is>
      </c>
      <c r="G11" s="21" t="inlineStr">
        <is>
          <t>ECT-14, ECT-16, ECT-20, BP-19</t>
        </is>
      </c>
    </row>
    <row r="12" ht="23.85" customHeight="1" s="11">
      <c r="A12" s="21" t="inlineStr">
        <is>
          <t>Program state</t>
        </is>
      </c>
      <c r="B12" s="21" t="inlineStr">
        <is>
          <t>EC9</t>
        </is>
      </c>
      <c r="C12" s="21" t="inlineStr">
        <is>
          <t>Ended</t>
        </is>
      </c>
      <c r="D12" s="21" t="inlineStr">
        <is>
          <t>Invalid for changes</t>
        </is>
      </c>
      <c r="E12" s="21" t="inlineStr">
        <is>
          <t>End -1h</t>
        </is>
      </c>
      <c r="F12" s="21" t="inlineStr">
        <is>
          <t>Add candidate / register voter rejected; delete keeps data that has votes</t>
        </is>
      </c>
      <c r="G12" s="21" t="inlineStr">
        <is>
          <t>ECT-15, ECT-19, BVA-20</t>
        </is>
      </c>
    </row>
    <row r="13" ht="15" customHeight="1" s="11">
      <c r="A13" s="21" t="inlineStr">
        <is>
          <t>Candidate name</t>
        </is>
      </c>
      <c r="B13" s="21" t="inlineStr">
        <is>
          <t>EC10</t>
        </is>
      </c>
      <c r="C13" s="21" t="inlineStr">
        <is>
          <t>Valid length 2..150</t>
        </is>
      </c>
      <c r="D13" s="21" t="inlineStr">
        <is>
          <t>Valid</t>
        </is>
      </c>
      <c r="E13" s="21" t="inlineStr">
        <is>
          <t>Alice Rahman</t>
        </is>
      </c>
      <c r="F13" s="21" t="inlineStr">
        <is>
          <t>Saved</t>
        </is>
      </c>
      <c r="G13" s="21" t="inlineStr">
        <is>
          <t>BVA-10, BVA-11</t>
        </is>
      </c>
    </row>
    <row r="14" ht="15" customHeight="1" s="11">
      <c r="A14" s="21" t="inlineStr">
        <is>
          <t>Candidate name</t>
        </is>
      </c>
      <c r="B14" s="21" t="inlineStr">
        <is>
          <t>EC11</t>
        </is>
      </c>
      <c r="C14" s="21" t="inlineStr">
        <is>
          <t>Blank / whitespace</t>
        </is>
      </c>
      <c r="D14" s="21" t="inlineStr">
        <is>
          <t>Invalid</t>
        </is>
      </c>
      <c r="E14" s="21" t="inlineStr">
        <is>
          <t>'', '  ', null</t>
        </is>
      </c>
      <c r="F14" s="21" t="inlineStr">
        <is>
          <t>Rejected</t>
        </is>
      </c>
      <c r="G14" s="21" t="inlineStr">
        <is>
          <t>BP-11 (PO-021..023)</t>
        </is>
      </c>
    </row>
    <row r="15" ht="15" customHeight="1" s="11">
      <c r="A15" s="21" t="inlineStr">
        <is>
          <t>Candidate name</t>
        </is>
      </c>
      <c r="B15" s="21" t="inlineStr">
        <is>
          <t>EC12</t>
        </is>
      </c>
      <c r="C15" s="21" t="inlineStr">
        <is>
          <t>Too short or too long</t>
        </is>
      </c>
      <c r="D15" s="21" t="inlineStr">
        <is>
          <t>Invalid</t>
        </is>
      </c>
      <c r="E15" s="21" t="inlineStr">
        <is>
          <t>'A', 151 chars</t>
        </is>
      </c>
      <c r="F15" s="21" t="inlineStr">
        <is>
          <t>Rejected</t>
        </is>
      </c>
      <c r="G15" s="21" t="inlineStr">
        <is>
          <t>BVA-09, BVA-12</t>
        </is>
      </c>
    </row>
    <row r="16" ht="15" customHeight="1" s="11">
      <c r="A16" s="21" t="inlineStr">
        <is>
          <t>Candidate code</t>
        </is>
      </c>
      <c r="B16" s="21" t="inlineStr">
        <is>
          <t>EC13</t>
        </is>
      </c>
      <c r="C16" s="21" t="inlineStr">
        <is>
          <t>New unique code</t>
        </is>
      </c>
      <c r="D16" s="21" t="inlineStr">
        <is>
          <t>Valid</t>
        </is>
      </c>
      <c r="E16" s="21" t="inlineStr">
        <is>
          <t>B2</t>
        </is>
      </c>
      <c r="F16" s="21" t="inlineStr">
        <is>
          <t>Saved</t>
        </is>
      </c>
      <c r="G16" s="21" t="inlineStr">
        <is>
          <t>BP-12</t>
        </is>
      </c>
    </row>
    <row r="17" ht="15" customHeight="1" s="11">
      <c r="A17" s="21" t="inlineStr">
        <is>
          <t>Candidate code</t>
        </is>
      </c>
      <c r="B17" s="21" t="inlineStr">
        <is>
          <t>EC14</t>
        </is>
      </c>
      <c r="C17" s="21" t="inlineStr">
        <is>
          <t>Exact duplicate</t>
        </is>
      </c>
      <c r="D17" s="21" t="inlineStr">
        <is>
          <t>Invalid</t>
        </is>
      </c>
      <c r="E17" s="21" t="inlineStr">
        <is>
          <t>A</t>
        </is>
      </c>
      <c r="F17" s="21" t="inlineStr">
        <is>
          <t>Rejected</t>
        </is>
      </c>
      <c r="G17" s="21" t="inlineStr">
        <is>
          <t>ECT-12</t>
        </is>
      </c>
    </row>
    <row r="18" ht="15" customHeight="1" s="11">
      <c r="A18" s="21" t="inlineStr">
        <is>
          <t>Candidate code</t>
        </is>
      </c>
      <c r="B18" s="21" t="inlineStr">
        <is>
          <t>EC15</t>
        </is>
      </c>
      <c r="C18" s="21" t="inlineStr">
        <is>
          <t>Case-variant duplicate</t>
        </is>
      </c>
      <c r="D18" s="21" t="inlineStr">
        <is>
          <t>Invalid</t>
        </is>
      </c>
      <c r="E18" s="21" t="inlineStr">
        <is>
          <t>a</t>
        </is>
      </c>
      <c r="F18" s="21" t="inlineStr">
        <is>
          <t>Rejected</t>
        </is>
      </c>
      <c r="G18" s="21" t="inlineStr">
        <is>
          <t>ECT-13</t>
        </is>
      </c>
    </row>
    <row r="19" ht="15" customHeight="1" s="11">
      <c r="A19" s="21" t="inlineStr">
        <is>
          <t>Image URL</t>
        </is>
      </c>
      <c r="B19" s="21" t="inlineStr">
        <is>
          <t>EC16</t>
        </is>
      </c>
      <c r="C19" s="21" t="inlineStr">
        <is>
          <t>Empty / null</t>
        </is>
      </c>
      <c r="D19" s="21" t="inlineStr">
        <is>
          <t>Valid</t>
        </is>
      </c>
      <c r="E19" s="21" t="inlineStr">
        <is>
          <t>''</t>
        </is>
      </c>
      <c r="F19" s="21" t="inlineStr">
        <is>
          <t>Saved with ImageUrl = null</t>
        </is>
      </c>
      <c r="G19" s="21" t="inlineStr">
        <is>
          <t>(PO-038)</t>
        </is>
      </c>
    </row>
    <row r="20" ht="15" customHeight="1" s="11">
      <c r="A20" s="21" t="inlineStr">
        <is>
          <t>Image URL</t>
        </is>
      </c>
      <c r="B20" s="21" t="inlineStr">
        <is>
          <t>EC17</t>
        </is>
      </c>
      <c r="C20" s="21" t="inlineStr">
        <is>
          <t>Absolute http/https</t>
        </is>
      </c>
      <c r="D20" s="21" t="inlineStr">
        <is>
          <t>Valid</t>
        </is>
      </c>
      <c r="E20" s="21" t="inlineStr">
        <is>
          <t>https://x.example/a.png</t>
        </is>
      </c>
      <c r="F20" s="21" t="inlineStr">
        <is>
          <t>Saved</t>
        </is>
      </c>
      <c r="G20" s="21" t="inlineStr">
        <is>
          <t>ECT-06, ECT-07</t>
        </is>
      </c>
    </row>
    <row r="21" ht="15" customHeight="1" s="11">
      <c r="A21" s="21" t="inlineStr">
        <is>
          <t>Image URL</t>
        </is>
      </c>
      <c r="B21" s="21" t="inlineStr">
        <is>
          <t>EC18</t>
        </is>
      </c>
      <c r="C21" s="21" t="inlineStr">
        <is>
          <t>Root-relative</t>
        </is>
      </c>
      <c r="D21" s="21" t="inlineStr">
        <is>
          <t>Valid</t>
        </is>
      </c>
      <c r="E21" s="21" t="inlineStr">
        <is>
          <t>/images/a.png</t>
        </is>
      </c>
      <c r="F21" s="21" t="inlineStr">
        <is>
          <t>Saved</t>
        </is>
      </c>
      <c r="G21" s="21" t="inlineStr">
        <is>
          <t>ECT-08</t>
        </is>
      </c>
    </row>
    <row r="22" ht="15" customHeight="1" s="11">
      <c r="A22" s="21" t="inlineStr">
        <is>
          <t>Image URL</t>
        </is>
      </c>
      <c r="B22" s="21" t="inlineStr">
        <is>
          <t>EC19</t>
        </is>
      </c>
      <c r="C22" s="21" t="inlineStr">
        <is>
          <t>Protocol-relative or '/\' prefix</t>
        </is>
      </c>
      <c r="D22" s="21" t="inlineStr">
        <is>
          <t>Invalid</t>
        </is>
      </c>
      <c r="E22" s="21" t="inlineStr">
        <is>
          <t>//evil.example/a.png, /\evil.example/a.png</t>
        </is>
      </c>
      <c r="F22" s="21" t="inlineStr">
        <is>
          <t>Rejected</t>
        </is>
      </c>
      <c r="G22" s="21" t="inlineStr">
        <is>
          <t>ECT-09, AddCandidate_SlashBackslashOrDoubleSlashImageUrl_IsRejected</t>
        </is>
      </c>
    </row>
    <row r="23" ht="15" customHeight="1" s="11">
      <c r="A23" s="21" t="inlineStr">
        <is>
          <t>Image URL</t>
        </is>
      </c>
      <c r="B23" s="21" t="inlineStr">
        <is>
          <t>EC20</t>
        </is>
      </c>
      <c r="C23" s="21" t="inlineStr">
        <is>
          <t>Other scheme / malformed</t>
        </is>
      </c>
      <c r="D23" s="21" t="inlineStr">
        <is>
          <t>Invalid</t>
        </is>
      </c>
      <c r="E23" s="21" t="inlineStr">
        <is>
          <t>javascript:, ftp:, data:, example.com</t>
        </is>
      </c>
      <c r="F23" s="21" t="inlineStr">
        <is>
          <t>Rejected</t>
        </is>
      </c>
      <c r="G23" s="21" t="inlineStr">
        <is>
          <t>ECT-10, ECT-11, BP-13</t>
        </is>
      </c>
    </row>
    <row r="24" ht="15" customHeight="1" s="11">
      <c r="A24" s="21" t="inlineStr">
        <is>
          <t>Voter email</t>
        </is>
      </c>
      <c r="B24" s="21" t="inlineStr">
        <is>
          <t>EC21</t>
        </is>
      </c>
      <c r="C24" s="21" t="inlineStr">
        <is>
          <t>Valid unique email</t>
        </is>
      </c>
      <c r="D24" s="21" t="inlineStr">
        <is>
          <t>Valid</t>
        </is>
      </c>
      <c r="E24" s="21" t="inlineStr">
        <is>
          <t>nadia@example.com</t>
        </is>
      </c>
      <c r="F24" s="21" t="inlineStr">
        <is>
          <t>Registered</t>
        </is>
      </c>
      <c r="G24" s="21" t="inlineStr">
        <is>
          <t>BP-18</t>
        </is>
      </c>
    </row>
    <row r="25" ht="15" customHeight="1" s="11">
      <c r="A25" s="21" t="inlineStr">
        <is>
          <t>Voter email</t>
        </is>
      </c>
      <c r="B25" s="21" t="inlineStr">
        <is>
          <t>EC22</t>
        </is>
      </c>
      <c r="C25" s="21" t="inlineStr">
        <is>
          <t>Invalid format</t>
        </is>
      </c>
      <c r="D25" s="21" t="inlineStr">
        <is>
          <t>Invalid</t>
        </is>
      </c>
      <c r="E25" s="21" t="inlineStr">
        <is>
          <t>not-an-email</t>
        </is>
      </c>
      <c r="F25" s="21" t="inlineStr">
        <is>
          <t>Rejected</t>
        </is>
      </c>
      <c r="G25" s="21" t="inlineStr">
        <is>
          <t>ECT-18</t>
        </is>
      </c>
    </row>
    <row r="26" ht="15" customHeight="1" s="11">
      <c r="A26" s="21" t="inlineStr">
        <is>
          <t>Voter email</t>
        </is>
      </c>
      <c r="B26" s="21" t="inlineStr">
        <is>
          <t>EC23</t>
        </is>
      </c>
      <c r="C26" s="21" t="inlineStr">
        <is>
          <t>Duplicate email in program</t>
        </is>
      </c>
      <c r="D26" s="21" t="inlineStr">
        <is>
          <t>Invalid</t>
        </is>
      </c>
      <c r="E26" s="21" t="inlineStr">
        <is>
          <t>same email twice</t>
        </is>
      </c>
      <c r="F26" s="21" t="inlineStr">
        <is>
          <t>Rejected</t>
        </is>
      </c>
      <c r="G26" s="21" t="inlineStr">
        <is>
          <t>(service) / Selenium S10</t>
        </is>
      </c>
    </row>
    <row r="27" ht="15" customHeight="1" s="11">
      <c r="A27" s="21" t="inlineStr">
        <is>
          <t>Service result</t>
        </is>
      </c>
      <c r="B27" s="21" t="inlineStr">
        <is>
          <t>EC24</t>
        </is>
      </c>
      <c r="C27" s="21" t="inlineStr">
        <is>
          <t>Success</t>
        </is>
      </c>
      <c r="D27" s="21" t="inlineStr">
        <is>
          <t>Valid</t>
        </is>
      </c>
      <c r="E27" s="21" t="inlineStr">
        <is>
          <t>(true, null)</t>
        </is>
      </c>
      <c r="F27" s="21" t="inlineStr">
        <is>
          <t>Redirect + success message</t>
        </is>
      </c>
      <c r="G27" s="21" t="inlineStr">
        <is>
          <t>BP-06, BP-10</t>
        </is>
      </c>
    </row>
    <row r="28" ht="15" customHeight="1" s="11">
      <c r="A28" s="21" t="inlineStr">
        <is>
          <t>Service result</t>
        </is>
      </c>
      <c r="B28" s="21" t="inlineStr">
        <is>
          <t>EC25</t>
        </is>
      </c>
      <c r="C28" s="21" t="inlineStr">
        <is>
          <t>Failure with message</t>
        </is>
      </c>
      <c r="D28" s="21" t="inlineStr">
        <is>
          <t>Invalid</t>
        </is>
      </c>
      <c r="E28" s="21" t="inlineStr">
        <is>
          <t>(false, 'text')</t>
        </is>
      </c>
      <c r="F28" s="21" t="inlineStr">
        <is>
          <t>Form/redirect with error</t>
        </is>
      </c>
      <c r="G28" s="21" t="inlineStr">
        <is>
          <t>BP-04, BP-17</t>
        </is>
      </c>
    </row>
    <row r="29" ht="15" customHeight="1" s="11">
      <c r="A29" s="21" t="inlineStr">
        <is>
          <t>Service result</t>
        </is>
      </c>
      <c r="B29" s="21" t="inlineStr">
        <is>
          <t>EC26</t>
        </is>
      </c>
      <c r="C29" s="21" t="inlineStr">
        <is>
          <t>Failure without message</t>
        </is>
      </c>
      <c r="D29" s="21" t="inlineStr">
        <is>
          <t>Invalid</t>
        </is>
      </c>
      <c r="E29" s="21" t="inlineStr">
        <is>
          <t>(false, null)</t>
        </is>
      </c>
      <c r="F29" s="21" t="inlineStr">
        <is>
          <t>Form without model error</t>
        </is>
      </c>
      <c r="G29" s="21" t="inlineStr">
        <is>
          <t>BP-05, BP-09</t>
        </is>
      </c>
    </row>
    <row r="30" ht="15" customHeight="1" s="11">
      <c r="A30" s="21" t="inlineStr">
        <is>
          <t>Model state</t>
        </is>
      </c>
      <c r="B30" s="21" t="inlineStr">
        <is>
          <t>EC27</t>
        </is>
      </c>
      <c r="C30" s="21" t="inlineStr">
        <is>
          <t>Valid</t>
        </is>
      </c>
      <c r="D30" s="21" t="inlineStr">
        <is>
          <t>Valid</t>
        </is>
      </c>
      <c r="E30" s="21" t="inlineStr">
        <is>
          <t>complete form</t>
        </is>
      </c>
      <c r="F30" s="21" t="inlineStr">
        <is>
          <t>Service is called</t>
        </is>
      </c>
      <c r="G30" s="21" t="inlineStr">
        <is>
          <t>BP-06</t>
        </is>
      </c>
    </row>
    <row r="31" ht="15" customHeight="1" s="11">
      <c r="A31" s="21" t="inlineStr">
        <is>
          <t>Model state</t>
        </is>
      </c>
      <c r="B31" s="21" t="inlineStr">
        <is>
          <t>EC28</t>
        </is>
      </c>
      <c r="C31" s="21" t="inlineStr">
        <is>
          <t>Invalid</t>
        </is>
      </c>
      <c r="D31" s="21" t="inlineStr">
        <is>
          <t>Invalid</t>
        </is>
      </c>
      <c r="E31" s="21" t="inlineStr">
        <is>
          <t>empty ProgramName</t>
        </is>
      </c>
      <c r="F31" s="21" t="inlineStr">
        <is>
          <t>Form returned, service not called</t>
        </is>
      </c>
      <c r="G31" s="21" t="inlineStr">
        <is>
          <t>BP-03</t>
        </is>
      </c>
    </row>
    <row r="32" ht="15" customHeight="1" s="11">
      <c r="A32" s="21" t="inlineStr">
        <is>
          <t>Browser time zone offset</t>
        </is>
      </c>
      <c r="B32" s="21" t="inlineStr">
        <is>
          <t>EC29</t>
        </is>
      </c>
      <c r="C32" s="21" t="inlineStr">
        <is>
          <t>Offset present</t>
        </is>
      </c>
      <c r="D32" s="21" t="inlineStr">
        <is>
          <t>Valid</t>
        </is>
      </c>
      <c r="E32" s="21" t="inlineStr">
        <is>
          <t>+360 (UTC+6) / -300 (UTC-5)</t>
        </is>
      </c>
      <c r="F32" s="21" t="inlineStr">
        <is>
          <t>Correct UTC stored</t>
        </is>
      </c>
      <c r="G32" s="21" t="inlineStr">
        <is>
          <t>TimeBehaviorTests</t>
        </is>
      </c>
    </row>
    <row r="33" ht="15" customHeight="1" s="11">
      <c r="A33" s="21" t="inlineStr">
        <is>
          <t>Browser time zone offset</t>
        </is>
      </c>
      <c r="B33" s="21" t="inlineStr">
        <is>
          <t>EC30</t>
        </is>
      </c>
      <c r="C33" s="21" t="inlineStr">
        <is>
          <t>Offset missing</t>
        </is>
      </c>
      <c r="D33" s="21" t="inlineStr">
        <is>
          <t>Invalid</t>
        </is>
      </c>
      <c r="E33" s="21" t="inlineStr">
        <is>
          <t>null</t>
        </is>
      </c>
      <c r="F33" s="21" t="inlineStr">
        <is>
          <t>Rejected</t>
        </is>
      </c>
      <c r="G33" s="21" t="inlineStr">
        <is>
          <t>TimeBehaviorTests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8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0" min="1" max="1"/>
    <col width="12" customWidth="1" style="10" min="2" max="2"/>
    <col width="60" customWidth="1" style="10" min="3" max="3"/>
    <col width="34" customWidth="1" style="10" min="4" max="4"/>
    <col width="28" customWidth="1" style="10" min="5" max="5"/>
    <col width="12" customWidth="1" style="10" min="6" max="6"/>
    <col width="10" customWidth="1" style="10" min="7" max="7"/>
  </cols>
  <sheetData>
    <row r="1" ht="17.35" customHeight="1" s="11">
      <c r="A1" s="12" t="inlineStr">
        <is>
          <t>Basis path testing — 10 functions</t>
        </is>
      </c>
    </row>
    <row r="2" ht="15" customHeight="1" s="11">
      <c r="A2" s="20" t="inlineStr">
        <is>
          <t>V(G) = decision nodes + 1 = E - N + 2 (control-flow graphs in BasisPath_Diagram1/2.png; node-level detail in ProgramOwner_BasisPath.xlsx). 'Paths listed' must equal V(G).</t>
        </is>
      </c>
    </row>
    <row r="4" ht="15" customHeight="1" s="11">
      <c r="A4" s="14" t="inlineStr">
        <is>
          <t>Function</t>
        </is>
      </c>
      <c r="B4" s="14" t="inlineStr">
        <is>
          <t>Source lines</t>
        </is>
      </c>
      <c r="C4" s="14" t="inlineStr">
        <is>
          <t>Decision predicates</t>
        </is>
      </c>
      <c r="D4" s="14" t="inlineStr">
        <is>
          <t>Decision points</t>
        </is>
      </c>
      <c r="E4" s="14" t="inlineStr">
        <is>
          <t>V(G)</t>
        </is>
      </c>
      <c r="F4" s="14" t="inlineStr">
        <is>
          <t>Paths listed</t>
        </is>
      </c>
      <c r="G4" s="14" t="inlineStr">
        <is>
          <t>Check</t>
        </is>
      </c>
    </row>
    <row r="5" ht="15" customHeight="1" s="11">
      <c r="A5" s="21" t="inlineStr">
        <is>
          <t>MyPrograms</t>
        </is>
      </c>
      <c r="B5" s="21" t="inlineStr">
        <is>
          <t>33-48</t>
        </is>
      </c>
      <c r="C5" s="21" t="inlineStr">
        <is>
          <t>string.IsNullOrEmpty(userId)</t>
        </is>
      </c>
      <c r="D5" s="18" t="n">
        <v>1</v>
      </c>
      <c r="E5" s="21">
        <f>D5+1</f>
        <v/>
      </c>
      <c r="F5" s="21">
        <f>COUNTIF($A$18:$A$86,A5)</f>
        <v/>
      </c>
      <c r="G5" s="21">
        <f>IF(E5=F5,"OK","CHECK")</f>
        <v/>
      </c>
    </row>
    <row r="6" ht="15" customHeight="1" s="11">
      <c r="A6" s="21" t="inlineStr">
        <is>
          <t>Create POST</t>
        </is>
      </c>
      <c r="B6" s="21" t="inlineStr">
        <is>
          <t>66-90</t>
        </is>
      </c>
      <c r="C6" s="21" t="inlineStr">
        <is>
          <t>!ModelState.IsValid; !success; errorMessage != null; model.IsPublished</t>
        </is>
      </c>
      <c r="D6" s="18" t="n">
        <v>4</v>
      </c>
      <c r="E6" s="21">
        <f>D6+1</f>
        <v/>
      </c>
      <c r="F6" s="21">
        <f>COUNTIF($A$18:$A$86,A6)</f>
        <v/>
      </c>
      <c r="G6" s="21">
        <f>IF(E6=F6,"OK","CHECK")</f>
        <v/>
      </c>
    </row>
    <row r="7" ht="23.85" customHeight="1" s="11">
      <c r="A7" s="21" t="inlineStr">
        <is>
          <t>Edit POST</t>
        </is>
      </c>
      <c r="B7" s="21" t="inlineStr">
        <is>
          <t>116-139</t>
        </is>
      </c>
      <c r="C7" s="21" t="inlineStr">
        <is>
          <t>id != model.Id; !ModelState.IsValid; !success; errorMessage != null; model.IsPublished</t>
        </is>
      </c>
      <c r="D7" s="18" t="n">
        <v>5</v>
      </c>
      <c r="E7" s="21">
        <f>D7+1</f>
        <v/>
      </c>
      <c r="F7" s="21">
        <f>COUNTIF($A$18:$A$86,A7)</f>
        <v/>
      </c>
      <c r="G7" s="21">
        <f>IF(E7=F7,"OK","CHECK")</f>
        <v/>
      </c>
    </row>
    <row r="8" ht="15" customHeight="1" s="11">
      <c r="A8" s="21" t="inlineStr">
        <is>
          <t>ManageCandidates GET</t>
        </is>
      </c>
      <c r="B8" s="21" t="inlineStr">
        <is>
          <t>143-155</t>
        </is>
      </c>
      <c r="C8" s="21" t="inlineStr">
        <is>
          <t>program is null; program.OwnerId != CurrentUserId; !User.IsInRole(Admin)?  (&amp;&amp;)</t>
        </is>
      </c>
      <c r="D8" s="18" t="n">
        <v>3</v>
      </c>
      <c r="E8" s="21">
        <f>D8+1</f>
        <v/>
      </c>
      <c r="F8" s="21">
        <f>COUNTIF($A$18:$A$86,A8)</f>
        <v/>
      </c>
      <c r="G8" s="21">
        <f>IF(E8=F8,"OK","CHECK")</f>
        <v/>
      </c>
    </row>
    <row r="9" ht="35.05" customHeight="1" s="11">
      <c r="A9" s="21" t="inlineStr">
        <is>
          <t>AddCandidate</t>
        </is>
      </c>
      <c r="B9" s="21" t="inlineStr">
        <is>
          <t>160-250</t>
        </is>
      </c>
      <c r="C9" s="21" t="inlineStr">
        <is>
          <t>IsNullOrWhiteSpace(name); IsNullOrWhiteSpace(candidateCode)?  (||); name.Length &lt; 2; name.Length &gt; 150?  (||); IsNullOrWhiteSpace(description)?  (?:); candidateCode.Length &gt; 50; description?.Length &gt; 500?  (||); imageUrl?.Trim().Length &gt; 500?  (||); program is null; program.OwnerId != CurrentUserId; !User.IsInRole(Admin)?  (&amp;&amp;); program.HasStarted; codeExists; !IsNullOrWhiteSpace(imageUrl); Uri.TryCreate(imageUrl, Absolute)?  (validUrl &amp;&amp;); uri.Scheme == http?  (validUrl ||); imageUrl.StartsWith('/')?  (relativeOk); !imageUrl.StartsWith("//")?  (&amp;&amp;); !validUrl; !relativeOk?  (&amp;&amp;); DbUpdateException thrown?  (catch)</t>
        </is>
      </c>
      <c r="D9" s="18" t="n">
        <v>21</v>
      </c>
      <c r="E9" s="21">
        <f>D9+1</f>
        <v/>
      </c>
      <c r="F9" s="21">
        <f>COUNTIF($A$18:$A$86,A9)</f>
        <v/>
      </c>
      <c r="G9" s="21">
        <f>IF(E9=F9,"OK","CHECK")</f>
        <v/>
      </c>
    </row>
    <row r="10" ht="23.85" customHeight="1" s="11">
      <c r="A10" s="21" t="inlineStr">
        <is>
          <t>DeleteCandidate</t>
        </is>
      </c>
      <c r="B10" s="21" t="inlineStr">
        <is>
          <t>255-291</t>
        </is>
      </c>
      <c r="C10" s="21" t="inlineStr">
        <is>
          <t>program is null; program.OwnerId != CurrentUserId; !User.IsInRole(Admin)?  (&amp;&amp;); candidate is null; program.HasStarted; Votes.AnyAsync(CandidateId == id); DbUpdateException thrown?  (catch)</t>
        </is>
      </c>
      <c r="D10" s="18" t="n">
        <v>7</v>
      </c>
      <c r="E10" s="21">
        <f>D10+1</f>
        <v/>
      </c>
      <c r="F10" s="21">
        <f>COUNTIF($A$18:$A$86,A10)</f>
        <v/>
      </c>
      <c r="G10" s="21">
        <f>IF(E10=F10,"OK","CHECK")</f>
        <v/>
      </c>
    </row>
    <row r="11" ht="15" customHeight="1" s="11">
      <c r="A11" s="21" t="inlineStr">
        <is>
          <t>Results</t>
        </is>
      </c>
      <c r="B11" s="21" t="inlineStr">
        <is>
          <t>295-311</t>
        </is>
      </c>
      <c r="C11" s="21" t="inlineStr">
        <is>
          <t>program is null; program.OwnerId != CurrentUserId; !User.IsInRole(Admin)?  (&amp;&amp;)</t>
        </is>
      </c>
      <c r="D11" s="18" t="n">
        <v>3</v>
      </c>
      <c r="E11" s="21">
        <f>D11+1</f>
        <v/>
      </c>
      <c r="F11" s="21">
        <f>COUNTIF($A$18:$A$86,A11)</f>
        <v/>
      </c>
      <c r="G11" s="21">
        <f>IF(E11=F11,"OK","CHECK")</f>
        <v/>
      </c>
    </row>
    <row r="12" ht="15" customHeight="1" s="11">
      <c r="A12" s="21" t="inlineStr">
        <is>
          <t>ManageVoters</t>
        </is>
      </c>
      <c r="B12" s="21" t="inlineStr">
        <is>
          <t>315-335</t>
        </is>
      </c>
      <c r="C12" s="21" t="inlineStr">
        <is>
          <t>program == null; program.OwnerId != CurrentUserId; !User.IsInRole(Admin)?  (&amp;&amp;)</t>
        </is>
      </c>
      <c r="D12" s="18" t="n">
        <v>3</v>
      </c>
      <c r="E12" s="21">
        <f>D12+1</f>
        <v/>
      </c>
      <c r="F12" s="21">
        <f>COUNTIF($A$18:$A$86,A12)</f>
        <v/>
      </c>
      <c r="G12" s="21">
        <f>IF(E12=F12,"OK","CHECK")</f>
        <v/>
      </c>
    </row>
    <row r="13" ht="15" customHeight="1" s="11">
      <c r="A13" s="21" t="inlineStr">
        <is>
          <t>RegisterVoter POST</t>
        </is>
      </c>
      <c r="B13" s="21" t="inlineStr">
        <is>
          <t>354-372</t>
        </is>
      </c>
      <c r="C13" s="21" t="inlineStr">
        <is>
          <t>program is null; program.OwnerId != CurrentUserId; !User.IsInRole(Admin)?  (&amp;&amp;); !success</t>
        </is>
      </c>
      <c r="D13" s="18" t="n">
        <v>4</v>
      </c>
      <c r="E13" s="21">
        <f>D13+1</f>
        <v/>
      </c>
      <c r="F13" s="21">
        <f>COUNTIF($A$18:$A$86,A13)</f>
        <v/>
      </c>
      <c r="G13" s="21">
        <f>IF(E13=F13,"OK","CHECK")</f>
        <v/>
      </c>
    </row>
    <row r="14" ht="23.85" customHeight="1" s="11">
      <c r="A14" s="21" t="inlineStr">
        <is>
          <t>Delete</t>
        </is>
      </c>
      <c r="B14" s="21" t="inlineStr">
        <is>
          <t>396-431</t>
        </is>
      </c>
      <c r="C14" s="21" t="inlineStr">
        <is>
          <t>program is null; program.OwnerId != CurrentUserId; !User.IsInRole(Admin)?  (&amp;&amp;); program.IsPublished; !program.HasEnded?  (&amp;&amp;); program.HasStarted?  (?:); Votes.AnyAsync(ProgramId == id); DbUpdateException thrown?  (catch)</t>
        </is>
      </c>
      <c r="D14" s="18" t="n">
        <v>8</v>
      </c>
      <c r="E14" s="21">
        <f>D14+1</f>
        <v/>
      </c>
      <c r="F14" s="21">
        <f>COUNTIF($A$18:$A$86,A14)</f>
        <v/>
      </c>
      <c r="G14" s="21">
        <f>IF(E14=F14,"OK","CHECK")</f>
        <v/>
      </c>
    </row>
    <row r="15" ht="15" customHeight="1" s="11">
      <c r="A15" s="16" t="inlineStr">
        <is>
          <t>Total</t>
        </is>
      </c>
      <c r="B15" s="16" t="n"/>
      <c r="C15" s="16" t="n"/>
      <c r="D15" s="16">
        <f>SUM(D5:D14)</f>
        <v/>
      </c>
      <c r="E15" s="16">
        <f>SUM(E5:E14)</f>
        <v/>
      </c>
      <c r="F15" s="16">
        <f>SUM(F5:F14)</f>
        <v/>
      </c>
      <c r="G15" s="16" t="n"/>
    </row>
    <row r="17" ht="15" customHeight="1" s="11">
      <c r="A17" s="14" t="inlineStr">
        <is>
          <t>Function</t>
        </is>
      </c>
      <c r="B17" s="14" t="inlineStr">
        <is>
          <t>Path</t>
        </is>
      </c>
      <c r="C17" s="14" t="inlineStr">
        <is>
          <t>Condition path</t>
        </is>
      </c>
      <c r="D17" s="14" t="inlineStr">
        <is>
          <t>Expected outcome</t>
        </is>
      </c>
      <c r="E17" s="14" t="inlineStr">
        <is>
          <t>Test case(s)</t>
        </is>
      </c>
    </row>
    <row r="18" ht="15" customHeight="1" s="11">
      <c r="A18" s="21" t="inlineStr">
        <is>
          <t>MyPrograms</t>
        </is>
      </c>
      <c r="B18" s="21" t="inlineStr">
        <is>
          <t>P1</t>
        </is>
      </c>
      <c r="C18" s="21" t="inlineStr">
        <is>
          <t>userId empty</t>
        </is>
      </c>
      <c r="D18" s="21" t="inlineStr">
        <is>
          <t>Unauthorized</t>
        </is>
      </c>
      <c r="E18" s="21" t="inlineStr">
        <is>
          <t>MyPrograms_WithoutUserId_ReturnsUnauthorized</t>
        </is>
      </c>
    </row>
    <row r="19" ht="15" customHeight="1" s="11">
      <c r="A19" s="21" t="inlineStr">
        <is>
          <t>MyPrograms</t>
        </is>
      </c>
      <c r="B19" s="21" t="inlineStr">
        <is>
          <t>P2</t>
        </is>
      </c>
      <c r="C19" s="21" t="inlineStr">
        <is>
          <t>userId present</t>
        </is>
      </c>
      <c r="D19" s="21" t="inlineStr">
        <is>
          <t>View with only this owner's programs</t>
        </is>
      </c>
      <c r="E19" s="21" t="inlineStr">
        <is>
          <t>MyPrograms_ReturnsOnlyCurrentOwnersPrograms</t>
        </is>
      </c>
    </row>
    <row r="20" ht="15" customHeight="1" s="11">
      <c r="A20" s="21" t="inlineStr">
        <is>
          <t>Create POST</t>
        </is>
      </c>
      <c r="B20" s="21" t="inlineStr">
        <is>
          <t>P1</t>
        </is>
      </c>
      <c r="C20" s="21" t="inlineStr">
        <is>
          <t>ModelState invalid</t>
        </is>
      </c>
      <c r="D20" s="21" t="inlineStr">
        <is>
          <t>View(form), ValuesAreUtc = false</t>
        </is>
      </c>
      <c r="E20" s="21" t="inlineStr">
        <is>
          <t>CreatePost_InvalidModel_ReturnsLocalInputMode</t>
        </is>
      </c>
    </row>
    <row r="21" ht="15" customHeight="1" s="11">
      <c r="A21" s="21" t="inlineStr">
        <is>
          <t>Create POST</t>
        </is>
      </c>
      <c r="B21" s="21" t="inlineStr">
        <is>
          <t>P2</t>
        </is>
      </c>
      <c r="C21" s="21" t="inlineStr">
        <is>
          <t>service fails, message given</t>
        </is>
      </c>
      <c r="D21" s="21" t="inlineStr">
        <is>
          <t>View(form) with model error</t>
        </is>
      </c>
      <c r="E21" s="21" t="inlineStr">
        <is>
          <t>CreatePost_ServiceFailure_ReturnsValidationError</t>
        </is>
      </c>
    </row>
    <row r="22" ht="15" customHeight="1" s="11">
      <c r="A22" s="21" t="inlineStr">
        <is>
          <t>Create POST</t>
        </is>
      </c>
      <c r="B22" s="21" t="inlineStr">
        <is>
          <t>P3</t>
        </is>
      </c>
      <c r="C22" s="21" t="inlineStr">
        <is>
          <t>service fails, no message</t>
        </is>
      </c>
      <c r="D22" s="21" t="inlineStr">
        <is>
          <t>View(form), no model error</t>
        </is>
      </c>
      <c r="E22" s="21" t="inlineStr">
        <is>
          <t>CreatePost_ServiceFailureWithoutMessage_ReturnsFormWithoutModelError</t>
        </is>
      </c>
    </row>
    <row r="23" ht="15" customHeight="1" s="11">
      <c r="A23" s="21" t="inlineStr">
        <is>
          <t>Create POST</t>
        </is>
      </c>
      <c r="B23" s="21" t="inlineStr">
        <is>
          <t>P4</t>
        </is>
      </c>
      <c r="C23" s="21" t="inlineStr">
        <is>
          <t>success, IsPublished = false</t>
        </is>
      </c>
      <c r="D23" s="21" t="inlineStr">
        <is>
          <t>Redirect to MyPrograms</t>
        </is>
      </c>
      <c r="E23" s="21" t="inlineStr">
        <is>
          <t>CreatePost_PublishedProgram_RedirectsToMyPrograms</t>
        </is>
      </c>
    </row>
    <row r="24" ht="15" customHeight="1" s="11">
      <c r="A24" s="21" t="inlineStr">
        <is>
          <t>Create POST</t>
        </is>
      </c>
      <c r="B24" s="21" t="inlineStr">
        <is>
          <t>P5</t>
        </is>
      </c>
      <c r="C24" s="21" t="inlineStr">
        <is>
          <t>success, IsPublished = true</t>
        </is>
      </c>
      <c r="D24" s="21" t="inlineStr">
        <is>
          <t>PublishedLink stored + redirect</t>
        </is>
      </c>
      <c r="E24" s="21" t="inlineStr">
        <is>
          <t>CreatePost_PublishedSuccess_StoresPublishedLinkAndRedirects</t>
        </is>
      </c>
    </row>
    <row r="25" ht="15" customHeight="1" s="11">
      <c r="A25" s="21" t="inlineStr">
        <is>
          <t>Edit POST</t>
        </is>
      </c>
      <c r="B25" s="21" t="inlineStr">
        <is>
          <t>P1</t>
        </is>
      </c>
      <c r="C25" s="21" t="inlineStr">
        <is>
          <t>id differs from model.Id</t>
        </is>
      </c>
      <c r="D25" s="21" t="inlineStr">
        <is>
          <t>NotFound</t>
        </is>
      </c>
      <c r="E25" s="21" t="inlineStr">
        <is>
          <t>EditPost_IdMismatch_ReturnsNotFound</t>
        </is>
      </c>
    </row>
    <row r="26" ht="15" customHeight="1" s="11">
      <c r="A26" s="21" t="inlineStr">
        <is>
          <t>Edit POST</t>
        </is>
      </c>
      <c r="B26" s="21" t="inlineStr">
        <is>
          <t>P2</t>
        </is>
      </c>
      <c r="C26" s="21" t="inlineStr">
        <is>
          <t>ModelState invalid</t>
        </is>
      </c>
      <c r="D26" s="21" t="inlineStr">
        <is>
          <t>View(form)</t>
        </is>
      </c>
      <c r="E26" s="21" t="inlineStr">
        <is>
          <t>EditPost_InvalidModel_ReturnsForm</t>
        </is>
      </c>
    </row>
    <row r="27" ht="15" customHeight="1" s="11">
      <c r="A27" s="21" t="inlineStr">
        <is>
          <t>Edit POST</t>
        </is>
      </c>
      <c r="B27" s="21" t="inlineStr">
        <is>
          <t>P3</t>
        </is>
      </c>
      <c r="C27" s="21" t="inlineStr">
        <is>
          <t>service fails, message given</t>
        </is>
      </c>
      <c r="D27" s="21" t="inlineStr">
        <is>
          <t>View(form) with model error</t>
        </is>
      </c>
      <c r="E27" s="21" t="inlineStr">
        <is>
          <t>EditPost_ServiceFailureWithMessage_ReturnsFormWithModelError</t>
        </is>
      </c>
    </row>
    <row r="28" ht="15" customHeight="1" s="11">
      <c r="A28" s="21" t="inlineStr">
        <is>
          <t>Edit POST</t>
        </is>
      </c>
      <c r="B28" s="21" t="inlineStr">
        <is>
          <t>P4</t>
        </is>
      </c>
      <c r="C28" s="21" t="inlineStr">
        <is>
          <t>service fails, no message</t>
        </is>
      </c>
      <c r="D28" s="21" t="inlineStr">
        <is>
          <t>View(form), no model error</t>
        </is>
      </c>
      <c r="E28" s="21" t="inlineStr">
        <is>
          <t>EditPost_ServiceFailureWithoutMessage_ReturnsFormWithoutModelError</t>
        </is>
      </c>
    </row>
    <row r="29" ht="15" customHeight="1" s="11">
      <c r="A29" s="21" t="inlineStr">
        <is>
          <t>Edit POST</t>
        </is>
      </c>
      <c r="B29" s="21" t="inlineStr">
        <is>
          <t>P5</t>
        </is>
      </c>
      <c r="C29" s="21" t="inlineStr">
        <is>
          <t>success, IsPublished = false</t>
        </is>
      </c>
      <c r="D29" s="21" t="inlineStr">
        <is>
          <t>Redirect to MyPrograms</t>
        </is>
      </c>
      <c r="E29" s="21" t="inlineStr">
        <is>
          <t>EditPost_ServiceSuccess_Redirects</t>
        </is>
      </c>
    </row>
    <row r="30" ht="15" customHeight="1" s="11">
      <c r="A30" s="21" t="inlineStr">
        <is>
          <t>Edit POST</t>
        </is>
      </c>
      <c r="B30" s="21" t="inlineStr">
        <is>
          <t>P6</t>
        </is>
      </c>
      <c r="C30" s="21" t="inlineStr">
        <is>
          <t>success, IsPublished = true</t>
        </is>
      </c>
      <c r="D30" s="21" t="inlineStr">
        <is>
          <t>PublishedLink stored + redirect</t>
        </is>
      </c>
      <c r="E30" s="21" t="inlineStr">
        <is>
          <t>EditPost_PublishedSuccess_StoresPublishedLinkAndRedirects</t>
        </is>
      </c>
    </row>
    <row r="31" ht="15" customHeight="1" s="11">
      <c r="A31" s="21" t="inlineStr">
        <is>
          <t>ManageCandidates GET</t>
        </is>
      </c>
      <c r="B31" s="21" t="inlineStr">
        <is>
          <t>P1</t>
        </is>
      </c>
      <c r="C31" s="21" t="inlineStr">
        <is>
          <t>program not found</t>
        </is>
      </c>
      <c r="D31" s="21" t="inlineStr">
        <is>
          <t>NotFound</t>
        </is>
      </c>
      <c r="E31" s="21" t="inlineStr">
        <is>
          <t>ManageCandidates_MissingProgram_ReturnsNotFound</t>
        </is>
      </c>
    </row>
    <row r="32" ht="15" customHeight="1" s="11">
      <c r="A32" s="21" t="inlineStr">
        <is>
          <t>ManageCandidates GET</t>
        </is>
      </c>
      <c r="B32" s="21" t="inlineStr">
        <is>
          <t>P2</t>
        </is>
      </c>
      <c r="C32" s="21" t="inlineStr">
        <is>
          <t>not owner, not admin</t>
        </is>
      </c>
      <c r="D32" s="21" t="inlineStr">
        <is>
          <t>Forbid</t>
        </is>
      </c>
      <c r="E32" s="21" t="inlineStr">
        <is>
          <t>ManageCandidates_EnforcesOwnership(admin: False, allowed: False)</t>
        </is>
      </c>
    </row>
    <row r="33" ht="15" customHeight="1" s="11">
      <c r="A33" s="21" t="inlineStr">
        <is>
          <t>ManageCandidates GET</t>
        </is>
      </c>
      <c r="B33" s="21" t="inlineStr">
        <is>
          <t>P3</t>
        </is>
      </c>
      <c r="C33" s="21" t="inlineStr">
        <is>
          <t>not owner, is admin</t>
        </is>
      </c>
      <c r="D33" s="21" t="inlineStr">
        <is>
          <t>View with candidates</t>
        </is>
      </c>
      <c r="E33" s="21" t="inlineStr">
        <is>
          <t>ManageCandidates_EnforcesOwnership(admin: True, allowed: True)</t>
        </is>
      </c>
    </row>
    <row r="34" ht="15" customHeight="1" s="11">
      <c r="A34" s="21" t="inlineStr">
        <is>
          <t>ManageCandidates GET</t>
        </is>
      </c>
      <c r="B34" s="21" t="inlineStr">
        <is>
          <t>P4</t>
        </is>
      </c>
      <c r="C34" s="21" t="inlineStr">
        <is>
          <t>current user is owner</t>
        </is>
      </c>
      <c r="D34" s="21" t="inlineStr">
        <is>
          <t>View with candidates</t>
        </is>
      </c>
      <c r="E34" s="21" t="inlineStr">
        <is>
          <t>ManageCandidates_CurrentOwner_ReturnsCandidateView</t>
        </is>
      </c>
    </row>
    <row r="35" ht="15" customHeight="1" s="11">
      <c r="A35" s="21" t="inlineStr">
        <is>
          <t>AddCandidate</t>
        </is>
      </c>
      <c r="B35" s="21" t="inlineStr">
        <is>
          <t>P1</t>
        </is>
      </c>
      <c r="C35" s="21" t="inlineStr">
        <is>
          <t>name blank</t>
        </is>
      </c>
      <c r="D35" s="21" t="inlineStr">
        <is>
          <t>Redirect with error</t>
        </is>
      </c>
      <c r="E35" s="21" t="inlineStr">
        <is>
          <t>AddCandidate_RequiredFieldsRedirect(name: null, code: "A"), AddCandidate_RequiredFieldsRedirect(name: "", code: "A"), AddCandidate_RequiredFieldsRedirect(name: " ", code: "A")</t>
        </is>
      </c>
    </row>
    <row r="36" ht="15" customHeight="1" s="11">
      <c r="A36" s="21" t="inlineStr">
        <is>
          <t>AddCandidate</t>
        </is>
      </c>
      <c r="B36" s="21" t="inlineStr">
        <is>
          <t>P2</t>
        </is>
      </c>
      <c r="C36" s="21" t="inlineStr">
        <is>
          <t>name given, code blank</t>
        </is>
      </c>
      <c r="D36" s="21" t="inlineStr">
        <is>
          <t>Redirect with error</t>
        </is>
      </c>
      <c r="E36" s="21" t="inlineStr">
        <is>
          <t>AddCandidate_RequiredFieldsRedirect(name: "Candidate", code: null), AddCandidate_RequiredFieldsRedirect(name: "Candidate", code: ""), AddCandidate_RequiredFieldsRedirect(name: "Candidate", code: " ")</t>
        </is>
      </c>
    </row>
    <row r="37" ht="15" customHeight="1" s="11">
      <c r="A37" s="21" t="inlineStr">
        <is>
          <t>AddCandidate</t>
        </is>
      </c>
      <c r="B37" s="21" t="inlineStr">
        <is>
          <t>P3</t>
        </is>
      </c>
      <c r="C37" s="21" t="inlineStr">
        <is>
          <t>name shorter than 2</t>
        </is>
      </c>
      <c r="D37" s="21" t="inlineStr">
        <is>
          <t>Redirect with error</t>
        </is>
      </c>
      <c r="E37" s="21" t="inlineStr">
        <is>
          <t>D07_AddCandidate_SingleCharacterName_IsRejected</t>
        </is>
      </c>
    </row>
    <row r="38" ht="15" customHeight="1" s="11">
      <c r="A38" s="21" t="inlineStr">
        <is>
          <t>AddCandidate</t>
        </is>
      </c>
      <c r="B38" s="21" t="inlineStr">
        <is>
          <t>P4</t>
        </is>
      </c>
      <c r="C38" s="21" t="inlineStr">
        <is>
          <t>name longer than 150</t>
        </is>
      </c>
      <c r="D38" s="21" t="inlineStr">
        <is>
          <t>Redirect with error</t>
        </is>
      </c>
      <c r="E38" s="21" t="inlineStr">
        <is>
          <t>D08_AddCandidate_FieldOverMaxLength_IsRejectedWithValidationMessage(field: "name")</t>
        </is>
      </c>
    </row>
    <row r="39" ht="15" customHeight="1" s="11">
      <c r="A39" s="21" t="inlineStr">
        <is>
          <t>AddCandidate</t>
        </is>
      </c>
      <c r="B39" s="21" t="inlineStr">
        <is>
          <t>P5</t>
        </is>
      </c>
      <c r="C39" s="21" t="inlineStr">
        <is>
          <t>code longer than 50</t>
        </is>
      </c>
      <c r="D39" s="21" t="inlineStr">
        <is>
          <t>Redirect with error</t>
        </is>
      </c>
      <c r="E39" s="21" t="inlineStr">
        <is>
          <t>D08_AddCandidate_FieldOverMaxLength_IsRejectedWithValidationMessage(field: "code")</t>
        </is>
      </c>
    </row>
    <row r="40" ht="15" customHeight="1" s="11">
      <c r="A40" s="21" t="inlineStr">
        <is>
          <t>AddCandidate</t>
        </is>
      </c>
      <c r="B40" s="21" t="inlineStr">
        <is>
          <t>P6</t>
        </is>
      </c>
      <c r="C40" s="21" t="inlineStr">
        <is>
          <t>description longer than 500</t>
        </is>
      </c>
      <c r="D40" s="21" t="inlineStr">
        <is>
          <t>Redirect with error</t>
        </is>
      </c>
      <c r="E40" s="21" t="inlineStr">
        <is>
          <t>D08_AddCandidate_FieldOverMaxLength_IsRejectedWithValidationMessage(field: "description")</t>
        </is>
      </c>
    </row>
    <row r="41" ht="15" customHeight="1" s="11">
      <c r="A41" s="21" t="inlineStr">
        <is>
          <t>AddCandidate</t>
        </is>
      </c>
      <c r="B41" s="21" t="inlineStr">
        <is>
          <t>P7</t>
        </is>
      </c>
      <c r="C41" s="21" t="inlineStr">
        <is>
          <t>image URL longer than 500</t>
        </is>
      </c>
      <c r="D41" s="21" t="inlineStr">
        <is>
          <t>Redirect with error</t>
        </is>
      </c>
      <c r="E41" s="21" t="inlineStr">
        <is>
          <t>D08_AddCandidate_FieldOverMaxLength_IsRejectedWithValidationMessage(field: "imageUrl")</t>
        </is>
      </c>
    </row>
    <row r="42" ht="15" customHeight="1" s="11">
      <c r="A42" s="21" t="inlineStr">
        <is>
          <t>AddCandidate</t>
        </is>
      </c>
      <c r="B42" s="21" t="inlineStr">
        <is>
          <t>P8</t>
        </is>
      </c>
      <c r="C42" s="21" t="inlineStr">
        <is>
          <t>program not found</t>
        </is>
      </c>
      <c r="D42" s="21" t="inlineStr">
        <is>
          <t>NotFound</t>
        </is>
      </c>
      <c r="E42" s="21" t="inlineStr">
        <is>
          <t>AddCandidate_MissingProgram_ReturnsNotFound</t>
        </is>
      </c>
    </row>
    <row r="43" ht="15" customHeight="1" s="11">
      <c r="A43" s="21" t="inlineStr">
        <is>
          <t>AddCandidate</t>
        </is>
      </c>
      <c r="B43" s="21" t="inlineStr">
        <is>
          <t>P9</t>
        </is>
      </c>
      <c r="C43" s="21" t="inlineStr">
        <is>
          <t>not owner, not admin</t>
        </is>
      </c>
      <c r="D43" s="21" t="inlineStr">
        <is>
          <t>Forbid</t>
        </is>
      </c>
      <c r="E43" s="21" t="inlineStr">
        <is>
          <t>AddCandidate_OtherOwner_ReturnsForbid</t>
        </is>
      </c>
    </row>
    <row r="44" ht="15" customHeight="1" s="11">
      <c r="A44" s="21" t="inlineStr">
        <is>
          <t>AddCandidate</t>
        </is>
      </c>
      <c r="B44" s="21" t="inlineStr">
        <is>
          <t>P10</t>
        </is>
      </c>
      <c r="C44" s="21" t="inlineStr">
        <is>
          <t>not owner, is admin</t>
        </is>
      </c>
      <c r="D44" s="21" t="inlineStr">
        <is>
          <t>Candidate saved</t>
        </is>
      </c>
      <c r="E44" s="21" t="inlineStr">
        <is>
          <t>AddCandidate_AdminOnAnotherOwnersProgram_SavesCandidate</t>
        </is>
      </c>
    </row>
    <row r="45" ht="15" customHeight="1" s="11">
      <c r="A45" s="21" t="inlineStr">
        <is>
          <t>AddCandidate</t>
        </is>
      </c>
      <c r="B45" s="21" t="inlineStr">
        <is>
          <t>P11</t>
        </is>
      </c>
      <c r="C45" s="21" t="inlineStr">
        <is>
          <t>program has started (active or ended)</t>
        </is>
      </c>
      <c r="D45" s="21" t="inlineStr">
        <is>
          <t>Redirect with error</t>
        </is>
      </c>
      <c r="E45" s="21" t="inlineStr">
        <is>
          <t>D02_AddCandidate_WhileProgramIsActive_IsRejected, D02_AddCandidate_AfterProgramEnded_IsRejected</t>
        </is>
      </c>
    </row>
    <row r="46" ht="15" customHeight="1" s="11">
      <c r="A46" s="21" t="inlineStr">
        <is>
          <t>AddCandidate</t>
        </is>
      </c>
      <c r="B46" s="21" t="inlineStr">
        <is>
          <t>P12</t>
        </is>
      </c>
      <c r="C46" s="21" t="inlineStr">
        <is>
          <t>code already used in program (any case)</t>
        </is>
      </c>
      <c r="D46" s="21" t="inlineStr">
        <is>
          <t>Redirect with error</t>
        </is>
      </c>
      <c r="E46" s="21" t="inlineStr">
        <is>
          <t>AddCandidate_DuplicateCode_RedirectsWithoutAdding, D10_AddCandidate_CodeThatDiffersOnlyByCase_IsRejectedAsDuplicate</t>
        </is>
      </c>
    </row>
    <row r="47" ht="15" customHeight="1" s="11">
      <c r="A47" s="21" t="inlineStr">
        <is>
          <t>AddCandidate</t>
        </is>
      </c>
      <c r="B47" s="21" t="inlineStr">
        <is>
          <t>P13</t>
        </is>
      </c>
      <c r="C47" s="21" t="inlineStr">
        <is>
          <t>owner; no image; description blank</t>
        </is>
      </c>
      <c r="D47" s="21" t="inlineStr">
        <is>
          <t>Candidate saved with nulls, success message</t>
        </is>
      </c>
      <c r="E47" s="21" t="inlineStr">
        <is>
          <t>AddCandidate_NameAndCodeAtUpperAndLowerValidBounds_AreSaved(nameLength: 2, codeLength: 1), AddCandidate_NameAndCodeAtUpperAndLowerValidBounds_AreSaved(nameLength: 150, codeLength: 50)</t>
        </is>
      </c>
    </row>
    <row r="48" ht="15" customHeight="1" s="11">
      <c r="A48" s="21" t="inlineStr">
        <is>
          <t>AddCandidate</t>
        </is>
      </c>
      <c r="B48" s="21" t="inlineStr">
        <is>
          <t>P14</t>
        </is>
      </c>
      <c r="C48" s="21" t="inlineStr">
        <is>
          <t>description given, no image</t>
        </is>
      </c>
      <c r="D48" s="21" t="inlineStr">
        <is>
          <t>Candidate saved, description trimmed</t>
        </is>
      </c>
      <c r="E48" s="21" t="inlineStr">
        <is>
          <t>AddCandidate_DescriptionWithoutImage_IsSavedTrimmed</t>
        </is>
      </c>
    </row>
    <row r="49" ht="15" customHeight="1" s="11">
      <c r="A49" s="21" t="inlineStr">
        <is>
          <t>AddCandidate</t>
        </is>
      </c>
      <c r="B49" s="21" t="inlineStr">
        <is>
          <t>P15</t>
        </is>
      </c>
      <c r="C49" s="21" t="inlineStr">
        <is>
          <t>image URL is absolute http</t>
        </is>
      </c>
      <c r="D49" s="21" t="inlineStr">
        <is>
          <t>Candidate saved</t>
        </is>
      </c>
      <c r="E49" s="21" t="inlineStr">
        <is>
          <t>AddCandidate_ValidImageUrl_Saves(imageUrl: "http://example.com/image.png")</t>
        </is>
      </c>
    </row>
    <row r="50" ht="15" customHeight="1" s="11">
      <c r="A50" s="21" t="inlineStr">
        <is>
          <t>AddCandidate</t>
        </is>
      </c>
      <c r="B50" s="21" t="inlineStr">
        <is>
          <t>P16</t>
        </is>
      </c>
      <c r="C50" s="21" t="inlineStr">
        <is>
          <t>image URL is absolute https</t>
        </is>
      </c>
      <c r="D50" s="21" t="inlineStr">
        <is>
          <t>Candidate saved</t>
        </is>
      </c>
      <c r="E50" s="21" t="inlineStr">
        <is>
          <t>AddCandidate_ValidImageUrl_Saves(imageUrl: "https://example.com/image.png"), AddCandidate_DescriptionAndImageUrlAtMaximumLength_AreSaved</t>
        </is>
      </c>
    </row>
    <row r="51" ht="15" customHeight="1" s="11">
      <c r="A51" s="21" t="inlineStr">
        <is>
          <t>AddCandidate</t>
        </is>
      </c>
      <c r="B51" s="21" t="inlineStr">
        <is>
          <t>P17</t>
        </is>
      </c>
      <c r="C51" s="21" t="inlineStr">
        <is>
          <t>root-relative URL (/images/..; not absolute on Windows)</t>
        </is>
      </c>
      <c r="D51" s="21" t="inlineStr">
        <is>
          <t>Candidate saved</t>
        </is>
      </c>
      <c r="E51" s="21" t="inlineStr">
        <is>
          <t>AddCandidate_ValidImageUrl_Saves(imageUrl: "/images/candidate.png"), AddCandidate_ValidImageUrl_Saves(imageUrl: "  /images/candidate.png  ")</t>
        </is>
      </c>
    </row>
    <row r="52" ht="15" customHeight="1" s="11">
      <c r="A52" s="21" t="inlineStr">
        <is>
          <t>AddCandidate</t>
        </is>
      </c>
      <c r="B52" s="21" t="inlineStr">
        <is>
          <t>P18</t>
        </is>
      </c>
      <c r="C52" s="21" t="inlineStr">
        <is>
          <t>absolute URL, other scheme (javascript:, ftp:, data:)</t>
        </is>
      </c>
      <c r="D52" s="21" t="inlineStr">
        <is>
          <t>Redirect with error</t>
        </is>
      </c>
      <c r="E52" s="21" t="inlineStr">
        <is>
          <t>AddCandidate_InvalidImageUrl_Redirects(imageUrl: "javascript:alert(1)"), AddCandidate_InvalidImageUrl_Redirects(imageUrl: "ftp://example.com/image.png"), AddCandidate_InvalidImageUrl_Redirects(imageUrl: "data:image/png;base64,abc")</t>
        </is>
      </c>
    </row>
    <row r="53" ht="15" customHeight="1" s="11">
      <c r="A53" s="21" t="inlineStr">
        <is>
          <t>AddCandidate</t>
        </is>
      </c>
      <c r="B53" s="21" t="inlineStr">
        <is>
          <t>P19</t>
        </is>
      </c>
      <c r="C53" s="21" t="inlineStr">
        <is>
          <t>not absolute, no leading '/' (example.com/..)</t>
        </is>
      </c>
      <c r="D53" s="21" t="inlineStr">
        <is>
          <t>Redirect with error</t>
        </is>
      </c>
      <c r="E53" s="21" t="inlineStr">
        <is>
          <t>AddCandidate_InvalidImageUrl_Redirects(imageUrl: "example.com/image.png")</t>
        </is>
      </c>
    </row>
    <row r="54" ht="15" customHeight="1" s="11">
      <c r="A54" s="21" t="inlineStr">
        <is>
          <t>AddCandidate</t>
        </is>
      </c>
      <c r="B54" s="21" t="inlineStr">
        <is>
          <t>P20</t>
        </is>
      </c>
      <c r="C54" s="21" t="inlineStr">
        <is>
          <t>protocol-relative '//host/..' (parsed as file: URI)</t>
        </is>
      </c>
      <c r="D54" s="21" t="inlineStr">
        <is>
          <t>Redirect with error</t>
        </is>
      </c>
      <c r="E54" s="21" t="inlineStr">
        <is>
          <t>D09_AddCandidate_ProtocolRelativeImageUrl_IsRejected, AddCandidate_SlashBackslashOrDoubleSlashImageUrl_IsRejected(imageUrl: "//evil.example/a.png")</t>
        </is>
      </c>
    </row>
    <row r="55" ht="15" customHeight="1" s="11">
      <c r="A55" s="21" t="inlineStr">
        <is>
          <t>AddCandidate</t>
        </is>
      </c>
      <c r="B55" s="21" t="inlineStr">
        <is>
          <t>P21</t>
        </is>
      </c>
      <c r="C55" s="21" t="inlineStr">
        <is>
          <t>'/\host/..' (parsed as file: URI)</t>
        </is>
      </c>
      <c r="D55" s="21" t="inlineStr">
        <is>
          <t>Redirect with error</t>
        </is>
      </c>
      <c r="E55" s="21" t="inlineStr">
        <is>
          <t>AddCandidate_SlashBackslashOrDoubleSlashImageUrl_IsRejected(imageUrl: "/\\evil.example/a.png")</t>
        </is>
      </c>
    </row>
    <row r="56" ht="15" customHeight="1" s="11">
      <c r="A56" s="21" t="inlineStr">
        <is>
          <t>AddCandidate</t>
        </is>
      </c>
      <c r="B56" s="21" t="inlineStr">
        <is>
          <t>P22</t>
        </is>
      </c>
      <c r="C56" s="21" t="inlineStr">
        <is>
          <t>SaveChanges throws DbUpdateException</t>
        </is>
      </c>
      <c r="D56" s="21" t="inlineStr">
        <is>
          <t>Redirect with error</t>
        </is>
      </c>
      <c r="E56" s="21" t="inlineStr">
        <is>
          <t>AddCandidate_SaveFails_RedirectsWithError</t>
        </is>
      </c>
    </row>
    <row r="57" ht="15" customHeight="1" s="11">
      <c r="A57" s="21" t="inlineStr">
        <is>
          <t>DeleteCandidate</t>
        </is>
      </c>
      <c r="B57" s="21" t="inlineStr">
        <is>
          <t>P1</t>
        </is>
      </c>
      <c r="C57" s="21" t="inlineStr">
        <is>
          <t>program not found</t>
        </is>
      </c>
      <c r="D57" s="21" t="inlineStr">
        <is>
          <t>NotFound</t>
        </is>
      </c>
      <c r="E57" s="21" t="inlineStr">
        <is>
          <t>DeleteCandidate_MissingProgram_ReturnsNotFound, DeleteCandidate_MissingCandidate_ReturnsNotFound</t>
        </is>
      </c>
    </row>
    <row r="58" ht="15" customHeight="1" s="11">
      <c r="A58" s="21" t="inlineStr">
        <is>
          <t>DeleteCandidate</t>
        </is>
      </c>
      <c r="B58" s="21" t="inlineStr">
        <is>
          <t>P2</t>
        </is>
      </c>
      <c r="C58" s="21" t="inlineStr">
        <is>
          <t>not owner, not admin</t>
        </is>
      </c>
      <c r="D58" s="21" t="inlineStr">
        <is>
          <t>Forbid</t>
        </is>
      </c>
      <c r="E58" s="21" t="inlineStr">
        <is>
          <t>DeleteCandidate_EnforcesOwnership(admin: False, allowed: False)</t>
        </is>
      </c>
    </row>
    <row r="59" ht="15" customHeight="1" s="11">
      <c r="A59" s="21" t="inlineStr">
        <is>
          <t>DeleteCandidate</t>
        </is>
      </c>
      <c r="B59" s="21" t="inlineStr">
        <is>
          <t>P3</t>
        </is>
      </c>
      <c r="C59" s="21" t="inlineStr">
        <is>
          <t>not owner, is admin</t>
        </is>
      </c>
      <c r="D59" s="21" t="inlineStr">
        <is>
          <t>Candidate deleted</t>
        </is>
      </c>
      <c r="E59" s="21" t="inlineStr">
        <is>
          <t>DeleteCandidate_EnforcesOwnership(admin: True, allowed: True)</t>
        </is>
      </c>
    </row>
    <row r="60" ht="15" customHeight="1" s="11">
      <c r="A60" s="21" t="inlineStr">
        <is>
          <t>DeleteCandidate</t>
        </is>
      </c>
      <c r="B60" s="21" t="inlineStr">
        <is>
          <t>P4</t>
        </is>
      </c>
      <c r="C60" s="21" t="inlineStr">
        <is>
          <t>candidate missing or in another program</t>
        </is>
      </c>
      <c r="D60" s="21" t="inlineStr">
        <is>
          <t>NotFound</t>
        </is>
      </c>
      <c r="E60" s="21" t="inlineStr">
        <is>
          <t>DeleteCandidate_WrongProgram_ReturnsNotFound, D11_DeleteCandidate_ExistingAndMissingCandidateOfOtherProgram_BehaveTheSame</t>
        </is>
      </c>
    </row>
    <row r="61" ht="15" customHeight="1" s="11">
      <c r="A61" s="21" t="inlineStr">
        <is>
          <t>DeleteCandidate</t>
        </is>
      </c>
      <c r="B61" s="21" t="inlineStr">
        <is>
          <t>P5</t>
        </is>
      </c>
      <c r="C61" s="21" t="inlineStr">
        <is>
          <t>program has started</t>
        </is>
      </c>
      <c r="D61" s="21" t="inlineStr">
        <is>
          <t>Redirect with error, candidate kept</t>
        </is>
      </c>
      <c r="E61" s="21" t="inlineStr">
        <is>
          <t>D02_DeleteCandidate_WhileProgramIsActive_IsRejected</t>
        </is>
      </c>
    </row>
    <row r="62" ht="15" customHeight="1" s="11">
      <c r="A62" s="21" t="inlineStr">
        <is>
          <t>DeleteCandidate</t>
        </is>
      </c>
      <c r="B62" s="21" t="inlineStr">
        <is>
          <t>P6</t>
        </is>
      </c>
      <c r="C62" s="21" t="inlineStr">
        <is>
          <t>candidate has recorded votes</t>
        </is>
      </c>
      <c r="D62" s="21" t="inlineStr">
        <is>
          <t>Redirect with error, votes kept</t>
        </is>
      </c>
      <c r="E62" s="21" t="inlineStr">
        <is>
          <t>D03_DeleteCandidate_WithRecordedVotes_IsRejected</t>
        </is>
      </c>
    </row>
    <row r="63" ht="15" customHeight="1" s="11">
      <c r="A63" s="21" t="inlineStr">
        <is>
          <t>DeleteCandidate</t>
        </is>
      </c>
      <c r="B63" s="21" t="inlineStr">
        <is>
          <t>P7</t>
        </is>
      </c>
      <c r="C63" s="21" t="inlineStr">
        <is>
          <t>SaveChanges throws DbUpdateException</t>
        </is>
      </c>
      <c r="D63" s="21" t="inlineStr">
        <is>
          <t>Redirect with error</t>
        </is>
      </c>
      <c r="E63" s="21" t="inlineStr">
        <is>
          <t>DeleteCandidate_SaveFails_RedirectsWithErrorAndKeepsCandidate</t>
        </is>
      </c>
    </row>
    <row r="64" ht="15" customHeight="1" s="11">
      <c r="A64" s="21" t="inlineStr">
        <is>
          <t>DeleteCandidate</t>
        </is>
      </c>
      <c r="B64" s="21" t="inlineStr">
        <is>
          <t>P8</t>
        </is>
      </c>
      <c r="C64" s="21" t="inlineStr">
        <is>
          <t>owner deletes own candidate</t>
        </is>
      </c>
      <c r="D64" s="21" t="inlineStr">
        <is>
          <t>Candidate deleted, success message</t>
        </is>
      </c>
      <c r="E64" s="21" t="inlineStr">
        <is>
          <t>DeleteCandidate_Owner_DeletesCandidate</t>
        </is>
      </c>
    </row>
    <row r="65" ht="15" customHeight="1" s="11">
      <c r="A65" s="21" t="inlineStr">
        <is>
          <t>Results</t>
        </is>
      </c>
      <c r="B65" s="21" t="inlineStr">
        <is>
          <t>P1</t>
        </is>
      </c>
      <c r="C65" s="21" t="inlineStr">
        <is>
          <t>program not found</t>
        </is>
      </c>
      <c r="D65" s="21" t="inlineStr">
        <is>
          <t>NotFound</t>
        </is>
      </c>
      <c r="E65" s="21" t="inlineStr">
        <is>
          <t>Results_MissingProgram_ReturnsNotFound</t>
        </is>
      </c>
    </row>
    <row r="66" ht="15" customHeight="1" s="11">
      <c r="A66" s="21" t="inlineStr">
        <is>
          <t>Results</t>
        </is>
      </c>
      <c r="B66" s="21" t="inlineStr">
        <is>
          <t>P2</t>
        </is>
      </c>
      <c r="C66" s="21" t="inlineStr">
        <is>
          <t>not owner, not admin</t>
        </is>
      </c>
      <c r="D66" s="21" t="inlineStr">
        <is>
          <t>Forbid</t>
        </is>
      </c>
      <c r="E66" s="21" t="inlineStr">
        <is>
          <t>Results_OtherOwner_ReturnsForbid</t>
        </is>
      </c>
    </row>
    <row r="67" ht="15" customHeight="1" s="11">
      <c r="A67" s="21" t="inlineStr">
        <is>
          <t>Results</t>
        </is>
      </c>
      <c r="B67" s="21" t="inlineStr">
        <is>
          <t>P3</t>
        </is>
      </c>
      <c r="C67" s="21" t="inlineStr">
        <is>
          <t>current user is owner</t>
        </is>
      </c>
      <c r="D67" s="21" t="inlineStr">
        <is>
          <t>Results view + blockchain status</t>
        </is>
      </c>
      <c r="E67" s="21" t="inlineStr">
        <is>
          <t>Results_OwnerLoadsResultsAndBlockchainStatus</t>
        </is>
      </c>
    </row>
    <row r="68" ht="15" customHeight="1" s="11">
      <c r="A68" s="21" t="inlineStr">
        <is>
          <t>Results</t>
        </is>
      </c>
      <c r="B68" s="21" t="inlineStr">
        <is>
          <t>P4</t>
        </is>
      </c>
      <c r="C68" s="21" t="inlineStr">
        <is>
          <t>not owner, is admin</t>
        </is>
      </c>
      <c r="D68" s="21" t="inlineStr">
        <is>
          <t>Results view</t>
        </is>
      </c>
      <c r="E68" s="21" t="inlineStr">
        <is>
          <t>Results_AdminOnAnotherOwnersProgram_ReturnsView</t>
        </is>
      </c>
    </row>
    <row r="69" ht="15" customHeight="1" s="11">
      <c r="A69" s="21" t="inlineStr">
        <is>
          <t>ManageVoters</t>
        </is>
      </c>
      <c r="B69" s="21" t="inlineStr">
        <is>
          <t>P1</t>
        </is>
      </c>
      <c r="C69" s="21" t="inlineStr">
        <is>
          <t>program not found</t>
        </is>
      </c>
      <c r="D69" s="21" t="inlineStr">
        <is>
          <t>NotFound</t>
        </is>
      </c>
      <c r="E69" s="21" t="inlineStr">
        <is>
          <t>ManageVoters_MissingProgram_ReturnsNotFound</t>
        </is>
      </c>
    </row>
    <row r="70" ht="15" customHeight="1" s="11">
      <c r="A70" s="21" t="inlineStr">
        <is>
          <t>ManageVoters</t>
        </is>
      </c>
      <c r="B70" s="21" t="inlineStr">
        <is>
          <t>P2</t>
        </is>
      </c>
      <c r="C70" s="21" t="inlineStr">
        <is>
          <t>not owner, not admin</t>
        </is>
      </c>
      <c r="D70" s="21" t="inlineStr">
        <is>
          <t>Forbid</t>
        </is>
      </c>
      <c r="E70" s="21" t="inlineStr">
        <is>
          <t>ManageVoters_OtherOwner_ReturnsForbid</t>
        </is>
      </c>
    </row>
    <row r="71" ht="15" customHeight="1" s="11">
      <c r="A71" s="21" t="inlineStr">
        <is>
          <t>ManageVoters</t>
        </is>
      </c>
      <c r="B71" s="21" t="inlineStr">
        <is>
          <t>P3</t>
        </is>
      </c>
      <c r="C71" s="21" t="inlineStr">
        <is>
          <t>current user is owner</t>
        </is>
      </c>
      <c r="D71" s="21" t="inlineStr">
        <is>
          <t>View with voter list</t>
        </is>
      </c>
      <c r="E71" s="21" t="inlineStr">
        <is>
          <t>ManageVoters_OwnerLoadsVoters</t>
        </is>
      </c>
    </row>
    <row r="72" ht="15" customHeight="1" s="11">
      <c r="A72" s="21" t="inlineStr">
        <is>
          <t>ManageVoters</t>
        </is>
      </c>
      <c r="B72" s="21" t="inlineStr">
        <is>
          <t>P4</t>
        </is>
      </c>
      <c r="C72" s="21" t="inlineStr">
        <is>
          <t>not owner, is admin</t>
        </is>
      </c>
      <c r="D72" s="21" t="inlineStr">
        <is>
          <t>View with voter list</t>
        </is>
      </c>
      <c r="E72" s="21" t="inlineStr">
        <is>
          <t>ManageVoters_AdminOnAnotherOwnersProgram_ReturnsView</t>
        </is>
      </c>
    </row>
    <row r="73" ht="15" customHeight="1" s="11">
      <c r="A73" s="21" t="inlineStr">
        <is>
          <t>RegisterVoter POST</t>
        </is>
      </c>
      <c r="B73" s="21" t="inlineStr">
        <is>
          <t>P1</t>
        </is>
      </c>
      <c r="C73" s="21" t="inlineStr">
        <is>
          <t>program not found</t>
        </is>
      </c>
      <c r="D73" s="21" t="inlineStr">
        <is>
          <t>NotFound</t>
        </is>
      </c>
      <c r="E73" s="21" t="inlineStr">
        <is>
          <t>D11_RegisterVoterPost_MissingProgram_ReturnsNotFoundLikeTheOtherActions</t>
        </is>
      </c>
    </row>
    <row r="74" ht="15" customHeight="1" s="11">
      <c r="A74" s="21" t="inlineStr">
        <is>
          <t>RegisterVoter POST</t>
        </is>
      </c>
      <c r="B74" s="21" t="inlineStr">
        <is>
          <t>P2</t>
        </is>
      </c>
      <c r="C74" s="21" t="inlineStr">
        <is>
          <t>not owner, not admin</t>
        </is>
      </c>
      <c r="D74" s="21" t="inlineStr">
        <is>
          <t>Forbid; service not called</t>
        </is>
      </c>
      <c r="E74" s="21" t="inlineStr">
        <is>
          <t>RegisterVoterPost_OtherOwner_ReturnsForbidWithoutCallingService</t>
        </is>
      </c>
    </row>
    <row r="75" ht="15" customHeight="1" s="11">
      <c r="A75" s="21" t="inlineStr">
        <is>
          <t>RegisterVoter POST</t>
        </is>
      </c>
      <c r="B75" s="21" t="inlineStr">
        <is>
          <t>P3</t>
        </is>
      </c>
      <c r="C75" s="21" t="inlineStr">
        <is>
          <t>not owner, is admin; service succeeds</t>
        </is>
      </c>
      <c r="D75" s="21" t="inlineStr">
        <is>
          <t>Redirect with success</t>
        </is>
      </c>
      <c r="E75" s="21" t="inlineStr">
        <is>
          <t>RegisterVoterPost_AdminOnAnotherOwnersProgram_CallsService</t>
        </is>
      </c>
    </row>
    <row r="76" ht="15" customHeight="1" s="11">
      <c r="A76" s="21" t="inlineStr">
        <is>
          <t>RegisterVoter POST</t>
        </is>
      </c>
      <c r="B76" s="21" t="inlineStr">
        <is>
          <t>P4</t>
        </is>
      </c>
      <c r="C76" s="21" t="inlineStr">
        <is>
          <t>owner; service fails</t>
        </is>
      </c>
      <c r="D76" s="21" t="inlineStr">
        <is>
          <t>Redirect with error</t>
        </is>
      </c>
      <c r="E76" s="21" t="inlineStr">
        <is>
          <t>RegisterVoterPost_ServiceFailure_RedirectsWithError</t>
        </is>
      </c>
    </row>
    <row r="77" ht="15" customHeight="1" s="11">
      <c r="A77" s="21" t="inlineStr">
        <is>
          <t>RegisterVoter POST</t>
        </is>
      </c>
      <c r="B77" s="21" t="inlineStr">
        <is>
          <t>P5</t>
        </is>
      </c>
      <c r="C77" s="21" t="inlineStr">
        <is>
          <t>owner; service succeeds</t>
        </is>
      </c>
      <c r="D77" s="21" t="inlineStr">
        <is>
          <t>Redirect with success</t>
        </is>
      </c>
      <c r="E77" s="21" t="inlineStr">
        <is>
          <t>RegisterVoterPost_ServiceSuccess_Redirects</t>
        </is>
      </c>
    </row>
    <row r="78" ht="15" customHeight="1" s="11">
      <c r="A78" s="21" t="inlineStr">
        <is>
          <t>Delete</t>
        </is>
      </c>
      <c r="B78" s="21" t="inlineStr">
        <is>
          <t>P1</t>
        </is>
      </c>
      <c r="C78" s="21" t="inlineStr">
        <is>
          <t>program not found</t>
        </is>
      </c>
      <c r="D78" s="21" t="inlineStr">
        <is>
          <t>NotFound</t>
        </is>
      </c>
      <c r="E78" s="21" t="inlineStr">
        <is>
          <t>Delete_MissingProgram_ReturnsNotFound</t>
        </is>
      </c>
    </row>
    <row r="79" ht="15" customHeight="1" s="11">
      <c r="A79" s="21" t="inlineStr">
        <is>
          <t>Delete</t>
        </is>
      </c>
      <c r="B79" s="21" t="inlineStr">
        <is>
          <t>P2</t>
        </is>
      </c>
      <c r="C79" s="21" t="inlineStr">
        <is>
          <t>not owner, not admin</t>
        </is>
      </c>
      <c r="D79" s="21" t="inlineStr">
        <is>
          <t>Forbid</t>
        </is>
      </c>
      <c r="E79" s="21" t="inlineStr">
        <is>
          <t>Delete_OtherOwner_ReturnsForbid</t>
        </is>
      </c>
    </row>
    <row r="80" ht="15" customHeight="1" s="11">
      <c r="A80" s="21" t="inlineStr">
        <is>
          <t>Delete</t>
        </is>
      </c>
      <c r="B80" s="21" t="inlineStr">
        <is>
          <t>P3</t>
        </is>
      </c>
      <c r="C80" s="21" t="inlineStr">
        <is>
          <t>not owner, is admin; published and ended</t>
        </is>
      </c>
      <c r="D80" s="21" t="inlineStr">
        <is>
          <t>Program deleted</t>
        </is>
      </c>
      <c r="E80" s="21" t="inlineStr">
        <is>
          <t>Delete_AdminOnAnotherOwnersEndedProgram_RemovesProgram</t>
        </is>
      </c>
    </row>
    <row r="81" ht="15" customHeight="1" s="11">
      <c r="A81" s="21" t="inlineStr">
        <is>
          <t>Delete</t>
        </is>
      </c>
      <c r="B81" s="21" t="inlineStr">
        <is>
          <t>P4</t>
        </is>
      </c>
      <c r="C81" s="21" t="inlineStr">
        <is>
          <t>owner; not published</t>
        </is>
      </c>
      <c r="D81" s="21" t="inlineStr">
        <is>
          <t>Program deleted</t>
        </is>
      </c>
      <c r="E81" s="21" t="inlineStr">
        <is>
          <t>Delete_UnpublishedProgram_RemovesProgram</t>
        </is>
      </c>
    </row>
    <row r="82" ht="15" customHeight="1" s="11">
      <c r="A82" s="21" t="inlineStr">
        <is>
          <t>Delete</t>
        </is>
      </c>
      <c r="B82" s="21" t="inlineStr">
        <is>
          <t>P5</t>
        </is>
      </c>
      <c r="C82" s="21" t="inlineStr">
        <is>
          <t>owner; published and ended</t>
        </is>
      </c>
      <c r="D82" s="21" t="inlineStr">
        <is>
          <t>Program deleted</t>
        </is>
      </c>
      <c r="E82" s="21" t="inlineStr">
        <is>
          <t>Delete_EndedProgram_RemovesProgram, Delete_PublishedProgramAroundEndTime_RespectsBoundary(secondsFromNow: -1, deleted: True)</t>
        </is>
      </c>
    </row>
    <row r="83" ht="15" customHeight="1" s="11">
      <c r="A83" s="21" t="inlineStr">
        <is>
          <t>Delete</t>
        </is>
      </c>
      <c r="B83" s="21" t="inlineStr">
        <is>
          <t>P6</t>
        </is>
      </c>
      <c r="C83" s="21" t="inlineStr">
        <is>
          <t>published, started, not ended</t>
        </is>
      </c>
      <c r="D83" s="21" t="inlineStr">
        <is>
          <t>Refused: 'voting is in progress'</t>
        </is>
      </c>
      <c r="E83" s="21" t="inlineStr">
        <is>
          <t>Delete_ActivePublishedProgram_IsRejected, D33_Delete_ActiveProgram_DoesNotSuggestAnImpossibleUnpublish</t>
        </is>
      </c>
    </row>
    <row r="84" ht="15" customHeight="1" s="11">
      <c r="A84" s="21" t="inlineStr">
        <is>
          <t>Delete</t>
        </is>
      </c>
      <c r="B84" s="21" t="inlineStr">
        <is>
          <t>P7</t>
        </is>
      </c>
      <c r="C84" s="21" t="inlineStr">
        <is>
          <t>published, not yet started</t>
        </is>
      </c>
      <c r="D84" s="21" t="inlineStr">
        <is>
          <t>Refused: 'Unpublish it first'</t>
        </is>
      </c>
      <c r="E84" s="21" t="inlineStr">
        <is>
          <t>Delete_PublishedUpcomingProgram_IsRefusedWithUnpublishHint</t>
        </is>
      </c>
    </row>
    <row r="85" ht="15" customHeight="1" s="11">
      <c r="A85" s="21" t="inlineStr">
        <is>
          <t>Delete</t>
        </is>
      </c>
      <c r="B85" s="21" t="inlineStr">
        <is>
          <t>P8</t>
        </is>
      </c>
      <c r="C85" s="21" t="inlineStr">
        <is>
          <t>votes recorded</t>
        </is>
      </c>
      <c r="D85" s="21" t="inlineStr">
        <is>
          <t>Refused, program and votes kept</t>
        </is>
      </c>
      <c r="E85" s="21" t="inlineStr">
        <is>
          <t>D05_Delete_EndedProgramWithVotes_IsNotHardDeleted</t>
        </is>
      </c>
    </row>
    <row r="86" ht="15" customHeight="1" s="11">
      <c r="A86" s="21" t="inlineStr">
        <is>
          <t>Delete</t>
        </is>
      </c>
      <c r="B86" s="21" t="inlineStr">
        <is>
          <t>P9</t>
        </is>
      </c>
      <c r="C86" s="21" t="inlineStr">
        <is>
          <t>SaveChanges throws DbUpdateException</t>
        </is>
      </c>
      <c r="D86" s="21" t="inlineStr">
        <is>
          <t>Redirect with error</t>
        </is>
      </c>
      <c r="E86" s="21" t="inlineStr">
        <is>
          <t>Delete_SaveFails_RedirectsWithError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M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10" min="1" max="1"/>
    <col width="40" customWidth="1" style="10" min="2" max="2"/>
    <col width="10" customWidth="1" style="10" min="3" max="3"/>
    <col width="9" customWidth="1" style="10" min="4" max="4"/>
    <col width="38" customWidth="1" style="10" min="5" max="5"/>
    <col width="26" customWidth="1" style="10" min="6" max="6"/>
    <col width="40" customWidth="1" style="10" min="7" max="7"/>
    <col width="30" customWidth="1" style="10" min="8" max="8"/>
    <col width="44" customWidth="1" style="10" min="9" max="9"/>
    <col width="40" customWidth="1" style="10" min="10" max="11"/>
    <col width="11" customWidth="1" style="10" min="12" max="12"/>
    <col width="14" customWidth="1" style="10" min="13" max="13"/>
  </cols>
  <sheetData>
    <row r="1" ht="17.35" customHeight="1" s="11">
      <c r="A1" s="12" t="inlineStr">
        <is>
          <t>Defect reports (34): status as of 2026-10-13. Fixed defects are verified by a passing test unless noted.</t>
        </is>
      </c>
    </row>
    <row r="3" ht="23.85" customHeight="1" s="11">
      <c r="A3" s="14" t="inlineStr">
        <is>
          <t>Defect ID</t>
        </is>
      </c>
      <c r="B3" s="14" t="inlineStr">
        <is>
          <t>Title</t>
        </is>
      </c>
      <c r="C3" s="14" t="inlineStr">
        <is>
          <t>Severity</t>
        </is>
      </c>
      <c r="D3" s="14" t="inlineStr">
        <is>
          <t>Priority</t>
        </is>
      </c>
      <c r="E3" s="14" t="inlineStr">
        <is>
          <t>Location</t>
        </is>
      </c>
      <c r="F3" s="14" t="inlineStr">
        <is>
          <t>Preconditions</t>
        </is>
      </c>
      <c r="G3" s="14" t="inlineStr">
        <is>
          <t>Steps to reproduce</t>
        </is>
      </c>
      <c r="H3" s="14" t="inlineStr">
        <is>
          <t>Expected result</t>
        </is>
      </c>
      <c r="I3" s="14" t="inlineStr">
        <is>
          <t>Actual result (from code reading)</t>
        </is>
      </c>
      <c r="J3" s="14" t="inlineStr">
        <is>
          <t>Test / evidence</t>
        </is>
      </c>
      <c r="K3" s="14" t="inlineStr">
        <is>
          <t>Suggested fix</t>
        </is>
      </c>
      <c r="L3" s="14" t="inlineStr">
        <is>
          <t>Status</t>
        </is>
      </c>
      <c r="M3" s="14" t="inlineStr">
        <is>
          <t>Confirmed by test run?</t>
        </is>
      </c>
    </row>
    <row r="4" ht="35.05" customHeight="1" s="11">
      <c r="A4" s="21" t="inlineStr">
        <is>
          <t>D01</t>
        </is>
      </c>
      <c r="B4" s="21" t="inlineStr">
        <is>
          <t>Edit allows rescheduling/reopening a program after voting started or ended</t>
        </is>
      </c>
      <c r="C4" s="21" t="inlineStr">
        <is>
          <t>High</t>
        </is>
      </c>
      <c r="D4" s="21" t="inlineStr">
        <is>
          <t>P1</t>
        </is>
      </c>
      <c r="E4" s="21" t="inlineStr">
        <is>
          <t>VotingService.ValidateAndUpdateProgramAsync (called from ProgramOwnerController.Edit POST, line ~119)</t>
        </is>
      </c>
      <c r="F4" s="21" t="inlineStr">
        <is>
          <t>Published program already started (or ended); logged in as owner</t>
        </is>
      </c>
      <c r="G4" s="21" t="inlineStr">
        <is>
          <t>1) Open Edit for a started program. 2) Move Start/End into the future (or extend End of an ended program). 3) Save.</t>
        </is>
      </c>
      <c r="H4" s="21" t="inlineStr">
        <is>
          <t>Update rejected once voting has started; ended elections cannot be reopened.</t>
        </is>
      </c>
      <c r="I4" s="21" t="inlineStr">
        <is>
          <t>Update succeeds. No lifecycle check exists in the service.</t>
        </is>
      </c>
      <c r="J4" s="21" t="inlineStr">
        <is>
          <t>D01_Edit_StartedProgram_CannotBeRescheduledIntoTheFuture, D01_Edit_EndedProgram_CannotBeReopened</t>
        </is>
      </c>
      <c r="K4" s="21" t="inlineStr">
        <is>
          <t>Reject changes to StartTime/EndTime/IsPublished when program HasStarted (allow only name/description).</t>
        </is>
      </c>
      <c r="L4" s="22" t="inlineStr">
        <is>
          <t>Fixed</t>
        </is>
      </c>
      <c r="M4" s="22" t="inlineStr">
        <is>
          <t>Yes: failed in run 1, passes after fix (4896cce)</t>
        </is>
      </c>
    </row>
    <row r="5" ht="68.65000000000001" customHeight="1" s="11">
      <c r="A5" s="21" t="inlineStr">
        <is>
          <t>D02</t>
        </is>
      </c>
      <c r="B5" s="21" t="inlineStr">
        <is>
          <t>Candidates can be added or deleted while the election is active or after it ended</t>
        </is>
      </c>
      <c r="C5" s="21" t="inlineStr">
        <is>
          <t>High</t>
        </is>
      </c>
      <c r="D5" s="21" t="inlineStr">
        <is>
          <t>P1</t>
        </is>
      </c>
      <c r="E5" s="21" t="inlineStr">
        <is>
          <t>ProgramOwnerController.AddCandidate (line ~162), DeleteCandidate (line ~232)</t>
        </is>
      </c>
      <c r="F5" s="21" t="inlineStr">
        <is>
          <t>Published program that is active (or ended)</t>
        </is>
      </c>
      <c r="G5" s="21" t="inlineStr">
        <is>
          <t>1) Open ManageCandidates for an active program. 2) Add a candidate / delete one.</t>
        </is>
      </c>
      <c r="H5" s="21" t="inlineStr">
        <is>
          <t>Rejected with an error: the ballot is frozen once voting starts.</t>
        </is>
      </c>
      <c r="I5" s="21" t="inlineStr">
        <is>
          <t>Candidate is added/deleted. No state check in either action.</t>
        </is>
      </c>
      <c r="J5" s="21" t="inlineStr">
        <is>
          <t>D02_AddCandidate_WhileProgramIsActive_IsRejected, D02_AddCandidate_AfterProgramEnded_IsRejected, D02_DeleteCandidate_WhileProgramIsActive_IsRejected</t>
        </is>
      </c>
      <c r="K5" s="21" t="inlineStr">
        <is>
          <t>Add `if (program.HasStarted) { TempData["Error"]=...; redirect }` in both actions.</t>
        </is>
      </c>
      <c r="L5" s="22" t="inlineStr">
        <is>
          <t>Fixed</t>
        </is>
      </c>
      <c r="M5" s="22" t="inlineStr">
        <is>
          <t>Yes: failed in run 1, passes after fix (4896cce)</t>
        </is>
      </c>
    </row>
    <row r="6" ht="46.25" customHeight="1" s="11">
      <c r="A6" s="21" t="inlineStr">
        <is>
          <t>D03</t>
        </is>
      </c>
      <c r="B6" s="21" t="inlineStr">
        <is>
          <t>Deleting a candidate that has votes silently deletes those votes (FK cascade)</t>
        </is>
      </c>
      <c r="C6" s="21" t="inlineStr">
        <is>
          <t>High</t>
        </is>
      </c>
      <c r="D6" s="21" t="inlineStr">
        <is>
          <t>P1</t>
        </is>
      </c>
      <c r="E6" s="21" t="inlineStr">
        <is>
          <t>ProgramOwnerController.DeleteCandidate; Migrations/20260418054953_Initialcreate.cs (FK_Votes_Candidates_CandidateId = Cascade)</t>
        </is>
      </c>
      <c r="F6" s="21" t="inlineStr">
        <is>
          <t>Candidate has at least one vote</t>
        </is>
      </c>
      <c r="G6" s="21" t="inlineStr">
        <is>
          <t>1) Delete a candidate who received votes.</t>
        </is>
      </c>
      <c r="H6" s="21" t="inlineStr">
        <is>
          <t>Delete refused (or votes preserved); tallies and hash chain unchanged.</t>
        </is>
      </c>
      <c r="I6" s="21" t="inlineStr">
        <is>
          <t>Candidate and its votes are removed; vote totals drop and the blockchain chain no longer validates.</t>
        </is>
      </c>
      <c r="J6" s="21" t="inlineStr">
        <is>
          <t>D03_DeleteCandidate_WithRecordedVotes_IsRejected</t>
        </is>
      </c>
      <c r="K6" s="21" t="inlineStr">
        <is>
          <t>Check for votes before delete; change FK to Restrict via migration.</t>
        </is>
      </c>
      <c r="L6" s="22" t="inlineStr">
        <is>
          <t>Fixed</t>
        </is>
      </c>
      <c r="M6" s="22" t="inlineStr">
        <is>
          <t>Yes: failed in run 1, passes after fix (4896cce)</t>
        </is>
      </c>
    </row>
    <row r="7" ht="23.85" customHeight="1" s="11">
      <c r="A7" s="21" t="inlineStr">
        <is>
          <t>D04</t>
        </is>
      </c>
      <c r="B7" s="21" t="inlineStr">
        <is>
          <t>Removing a voter who already voted deletes their vote (FK cascade)</t>
        </is>
      </c>
      <c r="C7" s="21" t="inlineStr">
        <is>
          <t>High</t>
        </is>
      </c>
      <c r="D7" s="21" t="inlineStr">
        <is>
          <t>P1</t>
        </is>
      </c>
      <c r="E7" s="21" t="inlineStr">
        <is>
          <t>VotingService.RemoveVoterAsync; FK_Votes_Voters_VoterId = Cascade</t>
        </is>
      </c>
      <c r="F7" s="21" t="inlineStr">
        <is>
          <t>Voter has HasVoted = true</t>
        </is>
      </c>
      <c r="G7" s="21" t="inlineStr">
        <is>
          <t>1) Open ManageVoters. 2) Remove a voter who has voted.</t>
        </is>
      </c>
      <c r="H7" s="21" t="inlineStr">
        <is>
          <t>Removal refused for voters who have voted.</t>
        </is>
      </c>
      <c r="I7" s="21" t="inlineStr">
        <is>
          <t>Voter and the vote row are removed; chain breaks. No HasVoted check.</t>
        </is>
      </c>
      <c r="J7" s="21" t="inlineStr">
        <is>
          <t>D04_RemoveVoter_VoterWhoAlreadyVoted_IsRejected</t>
        </is>
      </c>
      <c r="K7" s="21" t="inlineStr">
        <is>
          <t>Return error when voter.HasVoted; change FK to Restrict.</t>
        </is>
      </c>
      <c r="L7" s="22" t="inlineStr">
        <is>
          <t>Fixed</t>
        </is>
      </c>
      <c r="M7" s="22" t="inlineStr">
        <is>
          <t>Yes: failed in run 1, passes after fix (4896cce)</t>
        </is>
      </c>
    </row>
    <row r="8" ht="35.05" customHeight="1" s="11">
      <c r="A8" s="21" t="inlineStr">
        <is>
          <t>D05</t>
        </is>
      </c>
      <c r="B8" s="21" t="inlineStr">
        <is>
          <t>A program with recorded votes can be hard-deleted as soon as it ends</t>
        </is>
      </c>
      <c r="C8" s="21" t="inlineStr">
        <is>
          <t>Medium</t>
        </is>
      </c>
      <c r="D8" s="21" t="inlineStr">
        <is>
          <t>P2</t>
        </is>
      </c>
      <c r="E8" s="21" t="inlineStr">
        <is>
          <t>ProgramOwnerController.Delete (line ~362); cascade FK on Votes/BlockchainVotes; VotingDbContext Owner OnDelete Cascade</t>
        </is>
      </c>
      <c r="F8" s="21" t="inlineStr">
        <is>
          <t>Ended published program with votes</t>
        </is>
      </c>
      <c r="G8" s="21" t="inlineStr">
        <is>
          <t>1) Wait for the end time. 2) Click Delete on MyPrograms.</t>
        </is>
      </c>
      <c r="H8" s="21" t="inlineStr">
        <is>
          <t>Results and audit trail preserved (soft delete / archive).</t>
        </is>
      </c>
      <c r="I8" s="21" t="inlineStr">
        <is>
          <t>Program, votes and blocks are permanently removed. Deleting an Identity user also cascades to their programs.</t>
        </is>
      </c>
      <c r="J8" s="21" t="inlineStr">
        <is>
          <t>D05_Delete_EndedProgramWithVotes_IsNotHardDeleted</t>
        </is>
      </c>
      <c r="K8" s="21" t="inlineStr">
        <is>
          <t>Soft-delete (IsDeleted flag) or block deletion when votes exist.</t>
        </is>
      </c>
      <c r="L8" s="22" t="inlineStr">
        <is>
          <t>Fixed</t>
        </is>
      </c>
      <c r="M8" s="22" t="inlineStr">
        <is>
          <t>Yes: failed in run 1, passes after fix (4896cce)</t>
        </is>
      </c>
    </row>
    <row r="9" ht="68.65000000000001" customHeight="1" s="11">
      <c r="A9" s="21" t="inlineStr">
        <is>
          <t>D06</t>
        </is>
      </c>
      <c r="B9" s="21" t="inlineStr">
        <is>
          <t>After a duration-validation failure the form re-renders with shifted times</t>
        </is>
      </c>
      <c r="C9" s="21" t="inlineStr">
        <is>
          <t>Low</t>
        </is>
      </c>
      <c r="D9" s="21" t="inlineStr">
        <is>
          <t>P3</t>
        </is>
      </c>
      <c r="E9" s="21" t="inlineStr">
        <is>
          <t>VotingService.ValidateProgramAsync (sets ValuesAreUtc = true before assigning StartTime/EndTime)</t>
        </is>
      </c>
      <c r="F9" s="21" t="inlineStr">
        <is>
          <t>Browser time zone is not UTC</t>
        </is>
      </c>
      <c r="G9" s="21" t="inlineStr">
        <is>
          <t>1) Create program with End &lt; Start + 5 min. 2) Submit. 3) Look at Start/End on the re-rendered form.</t>
        </is>
      </c>
      <c r="H9" s="21" t="inlineStr">
        <is>
          <t>Times shown exactly as typed.</t>
        </is>
      </c>
      <c r="I9" s="21" t="inlineStr">
        <is>
          <t>ValuesAreUtc is true while the model still holds local values, so the JS converts them again and the times shift by the UTC offset; every retry shifts again. Reachable only when the page's client-side 5-minute check (a JavaScript alert) is bypassed, so the browser test cannot reach it; the unit test confirms it.</t>
        </is>
      </c>
      <c r="J9" s="21" t="inlineStr">
        <is>
          <t>D06_DurationFailure_DoesNotLeaveLocalTimesFlaggedAsUtc; Selenium S03</t>
        </is>
      </c>
      <c r="K9" s="21" t="inlineStr">
        <is>
          <t>Set ValuesAreUtc only after StartTime/EndTime have been assigned UTC values.</t>
        </is>
      </c>
      <c r="L9" s="22" t="inlineStr">
        <is>
          <t>Fixed</t>
        </is>
      </c>
      <c r="M9" s="22" t="inlineStr">
        <is>
          <t>Yes: failed in run 1, passes after fix (4896cce)</t>
        </is>
      </c>
    </row>
    <row r="10" ht="23.85" customHeight="1" s="11">
      <c r="A10" s="21" t="inlineStr">
        <is>
          <t>D07</t>
        </is>
      </c>
      <c r="B10" s="21" t="inlineStr">
        <is>
          <t>Candidate name of 1 character is accepted (model requires 2..150)</t>
        </is>
      </c>
      <c r="C10" s="21" t="inlineStr">
        <is>
          <t>Low</t>
        </is>
      </c>
      <c r="D10" s="21" t="inlineStr">
        <is>
          <t>P3</t>
        </is>
      </c>
      <c r="E10" s="21" t="inlineStr">
        <is>
          <t>ProgramOwnerController.AddCandidate (parameters bypass model validation)</t>
        </is>
      </c>
      <c r="F10" s="21" t="inlineStr">
        <is>
          <t>Any program</t>
        </is>
      </c>
      <c r="G10" s="21" t="inlineStr">
        <is>
          <t>1) POST name = 'A' with a valid code.</t>
        </is>
      </c>
      <c r="H10" s="21" t="inlineStr">
        <is>
          <t>Rejected with 'Name must be between 2 and 150 characters'.</t>
        </is>
      </c>
      <c r="I10" s="21" t="inlineStr">
        <is>
          <t>Before the fix a 1-character name was saved. Now rejected.</t>
        </is>
      </c>
      <c r="J10" s="21" t="inlineStr">
        <is>
          <t>D07_AddCandidate_SingleCharacterName_IsRejected; Selenium S08</t>
        </is>
      </c>
      <c r="K10" s="21" t="inlineStr">
        <is>
          <t>Bind to Candidate model with ModelState validation, or check lengths explicitly.</t>
        </is>
      </c>
      <c r="L10" s="22" t="inlineStr">
        <is>
          <t>Fixed</t>
        </is>
      </c>
      <c r="M10" s="22" t="inlineStr">
        <is>
          <t>Yes: regression test passes</t>
        </is>
      </c>
    </row>
    <row r="11" ht="23.85" customHeight="1" s="11">
      <c r="A11" s="21" t="inlineStr">
        <is>
          <t>D08</t>
        </is>
      </c>
      <c r="B11" s="21" t="inlineStr">
        <is>
          <t>No server-side maximum-length checks for candidate fields</t>
        </is>
      </c>
      <c r="C11" s="21" t="inlineStr">
        <is>
          <t>Low</t>
        </is>
      </c>
      <c r="D11" s="21" t="inlineStr">
        <is>
          <t>P3</t>
        </is>
      </c>
      <c r="E11" s="21" t="inlineStr">
        <is>
          <t>ProgramOwnerController.AddCandidate</t>
        </is>
      </c>
      <c r="F11" s="21" t="inlineStr">
        <is>
          <t>Crafted POST (browser maxlength can be bypassed)</t>
        </is>
      </c>
      <c r="G11" s="21" t="inlineStr">
        <is>
          <t>1) POST name 151 / code 51 / description 501 / imageUrl 501 characters.</t>
        </is>
      </c>
      <c r="H11" s="21" t="inlineStr">
        <is>
          <t>Specific validation message; nothing saved.</t>
        </is>
      </c>
      <c r="I11" s="21" t="inlineStr">
        <is>
          <t>Database throws DbUpdateException; user sees only 'Candidate could not be saved'.</t>
        </is>
      </c>
      <c r="J11" s="21" t="inlineStr">
        <is>
          <t>D08_AddCandidate_FieldOverMaxLength_IsRejectedWithValidationMessage (4 cases)</t>
        </is>
      </c>
      <c r="K11" s="21" t="inlineStr">
        <is>
          <t>Validate lengths before SaveChanges.</t>
        </is>
      </c>
      <c r="L11" s="22" t="inlineStr">
        <is>
          <t>Fixed</t>
        </is>
      </c>
      <c r="M11" s="22" t="inlineStr">
        <is>
          <t>Yes: failed in run 1, passes after fix (4896cce)</t>
        </is>
      </c>
    </row>
    <row r="12" ht="35.05" customHeight="1" s="11">
      <c r="A12" s="21" t="inlineStr">
        <is>
          <t>D09</t>
        </is>
      </c>
      <c r="B12" s="21" t="inlineStr">
        <is>
          <t>Protocol-relative image URL (//host/img.png) is accepted</t>
        </is>
      </c>
      <c r="C12" s="21" t="inlineStr">
        <is>
          <t>Low</t>
        </is>
      </c>
      <c r="D12" s="21" t="inlineStr">
        <is>
          <t>P3</t>
        </is>
      </c>
      <c r="E12" s="21" t="inlineStr">
        <is>
          <t>ProgramOwnerController.AddCandidate (`imageUrl.StartsWith('/')`)</t>
        </is>
      </c>
      <c r="F12" s="21" t="inlineStr">
        <is>
          <t>Any program</t>
        </is>
      </c>
      <c r="G12" s="21" t="inlineStr">
        <is>
          <t>1) Add candidate with imageUrl = //evil.example/photo.png.</t>
        </is>
      </c>
      <c r="H12" s="21" t="inlineStr">
        <is>
          <t>Rejected as not a valid image URL.</t>
        </is>
      </c>
      <c r="I12" s="21" t="inlineStr">
        <is>
          <t>Before the fix a protocol-relative URL was saved and browsers loaded the image from the external host. Now rejected.</t>
        </is>
      </c>
      <c r="J12" s="21" t="inlineStr">
        <is>
          <t>D09_AddCandidate_ProtocolRelativeImageUrl_IsRejected; Selenium S07</t>
        </is>
      </c>
      <c r="K12" s="21" t="inlineStr">
        <is>
          <t>Require StartsWith('/') &amp;&amp; !StartsWith("//") &amp;&amp; !StartsWith("/\\").</t>
        </is>
      </c>
      <c r="L12" s="22" t="inlineStr">
        <is>
          <t>Fixed</t>
        </is>
      </c>
      <c r="M12" s="22" t="inlineStr">
        <is>
          <t>Yes: regression test passes</t>
        </is>
      </c>
    </row>
    <row r="13" ht="23.85" customHeight="1" s="11">
      <c r="A13" s="21" t="inlineStr">
        <is>
          <t>D10</t>
        </is>
      </c>
      <c r="B13" s="21" t="inlineStr">
        <is>
          <t>Candidate-code uniqueness is case-sensitive</t>
        </is>
      </c>
      <c r="C13" s="21" t="inlineStr">
        <is>
          <t>Low</t>
        </is>
      </c>
      <c r="D13" s="21" t="inlineStr">
        <is>
          <t>P3</t>
        </is>
      </c>
      <c r="E13" s="21" t="inlineStr">
        <is>
          <t>ProgramOwnerController.AddCandidate; unique index on (ProgramId, CandidateCode)</t>
        </is>
      </c>
      <c r="F13" s="21" t="inlineStr">
        <is>
          <t>Candidate with code 'A' exists</t>
        </is>
      </c>
      <c r="G13" s="21" t="inlineStr">
        <is>
          <t>1) Add another candidate with code 'a'.</t>
        </is>
      </c>
      <c r="H13" s="21" t="inlineStr">
        <is>
          <t>Rejected as duplicate.</t>
        </is>
      </c>
      <c r="I13" s="21" t="inlineStr">
        <is>
          <t>Saved: 'A' and 'a' coexist.</t>
        </is>
      </c>
      <c r="J13" s="21" t="inlineStr">
        <is>
          <t>D10_AddCandidate_CodeThatDiffersOnlyByCase_IsRejectedAsDuplicate</t>
        </is>
      </c>
      <c r="K13" s="21" t="inlineStr">
        <is>
          <t>Compare with ToLower()/ordinal-ignore-case and normalise on save.</t>
        </is>
      </c>
      <c r="L13" s="22" t="inlineStr">
        <is>
          <t>Fixed</t>
        </is>
      </c>
      <c r="M13" s="22" t="inlineStr">
        <is>
          <t>Yes: failed in run 1, passes after fix (4896cce)</t>
        </is>
      </c>
    </row>
    <row r="14" ht="46.25" customHeight="1" s="11">
      <c r="A14" s="21" t="inlineStr">
        <is>
          <t>D11</t>
        </is>
      </c>
      <c r="B14" s="21" t="inlineStr">
        <is>
          <t>Inconsistent NotFound/Forbid responses reveal which IDs exist</t>
        </is>
      </c>
      <c r="C14" s="21" t="inlineStr">
        <is>
          <t>Low</t>
        </is>
      </c>
      <c r="D14" s="21" t="inlineStr">
        <is>
          <t>P3</t>
        </is>
      </c>
      <c r="E14" s="21" t="inlineStr">
        <is>
          <t>ProgramOwnerController.DeleteCandidate, RemoveVoter</t>
        </is>
      </c>
      <c r="F14" s="21" t="inlineStr">
        <is>
          <t>Logged in as a different owner</t>
        </is>
      </c>
      <c r="G14" s="21" t="inlineStr">
        <is>
          <t>1) DeleteCandidate for a candidate of someone else's program. 2) DeleteCandidate for a non-existent id. 3) RemoveVoter for a missing program.</t>
        </is>
      </c>
      <c r="H14" s="21" t="inlineStr">
        <is>
          <t>Same response for 'missing' and 'not yours'.</t>
        </is>
      </c>
      <c r="I14" s="21" t="inlineStr">
        <is>
          <t>403 vs 404 differ, so IDs can be enumerated; RemoveVoter returns 403 for a missing program while other actions return 404.</t>
        </is>
      </c>
      <c r="J14" s="21" t="inlineStr">
        <is>
          <t>D11_DeleteCandidate_ExistingAndMissingCandidateOfOtherProgram_BehaveTheSame; D11_RemoveVoter_MissingProgram_ReturnsNotFoundLikeTheOtherActions</t>
        </is>
      </c>
      <c r="K14" s="21" t="inlineStr">
        <is>
          <t>Return NotFound for both cases. (Note: existing test PO-056 asserts the current Forbid behaviour.)</t>
        </is>
      </c>
      <c r="L14" s="22" t="inlineStr">
        <is>
          <t>Fixed</t>
        </is>
      </c>
      <c r="M14" s="22" t="inlineStr">
        <is>
          <t>Yes: RegisterVoter case fixed 2026-10-13; test failed before, passes now</t>
        </is>
      </c>
    </row>
    <row r="15" ht="46.25" customHeight="1" s="11">
      <c r="A15" s="21" t="inlineStr">
        <is>
          <t>D12</t>
        </is>
      </c>
      <c r="B15" s="21" t="inlineStr">
        <is>
          <t>MyPrograms and the dashboard load every vote, voter and candidate</t>
        </is>
      </c>
      <c r="C15" s="21" t="inlineStr">
        <is>
          <t>Medium</t>
        </is>
      </c>
      <c r="D15" s="21" t="inlineStr">
        <is>
          <t>P2</t>
        </is>
      </c>
      <c r="E15" s="21" t="inlineStr">
        <is>
          <t>ProgramOwnerController.MyPrograms (Include Candidates/Votes/Voters); VotingService.GetAllProgramsForDashboardAsync</t>
        </is>
      </c>
      <c r="F15" s="21" t="inlineStr">
        <is>
          <t>Owner with large programs</t>
        </is>
      </c>
      <c r="G15" s="21" t="inlineStr">
        <is>
          <t>1) Open MyPrograms for a program with thousands of votes.</t>
        </is>
      </c>
      <c r="H15" s="21" t="inlineStr">
        <is>
          <t>Page loads counts only.</t>
        </is>
      </c>
      <c r="I15" s="21" t="inlineStr">
        <is>
          <t>All rows are materialised; memory and latency grow with vote volume.</t>
        </is>
      </c>
      <c r="J15" s="21" t="inlineStr">
        <is>
          <t>(performance) measure query size / response time</t>
        </is>
      </c>
      <c r="K15" s="21" t="inlineStr">
        <is>
          <t>Project to counts with Select(p =&gt; new { ..., Votes = p.Votes.Count }).</t>
        </is>
      </c>
      <c r="L15" s="22" t="inlineStr">
        <is>
          <t>Fixed</t>
        </is>
      </c>
      <c r="M15" s="22" t="inlineStr">
        <is>
          <t>Yes: D12 tests fail on the old query and pass after the fix (2026-10-13)</t>
        </is>
      </c>
    </row>
    <row r="16" ht="35.05" customHeight="1" s="11">
      <c r="A16" s="21" t="inlineStr">
        <is>
          <t>D13</t>
        </is>
      </c>
      <c r="B16" s="21" t="inlineStr">
        <is>
          <t>Create does not trim Description (Edit does); invalid-slug message is unreachable</t>
        </is>
      </c>
      <c r="C16" s="21" t="inlineStr">
        <is>
          <t>Low</t>
        </is>
      </c>
      <c r="D16" s="21" t="inlineStr">
        <is>
          <t>P3</t>
        </is>
      </c>
      <c r="E16" s="21" t="inlineStr">
        <is>
          <t>VotingService.ValidateAndCreateProgramAsync; TryNormalizeSlug (always returns true)</t>
        </is>
      </c>
      <c r="F16" s="21" t="inlineStr">
        <is>
          <t>Any owner</t>
        </is>
      </c>
      <c r="G16" s="21" t="inlineStr">
        <is>
          <t>1) Create a program with Description '  hello  '. 2) Create with slug 'My Slug!'.</t>
        </is>
      </c>
      <c r="H16" s="21" t="inlineStr">
        <is>
          <t>Description trimmed; invalid slug reported.</t>
        </is>
      </c>
      <c r="I16" s="21" t="inlineStr">
        <is>
          <t>Description saved with spaces; slug is silently rewritten and the 'Slug can only contain…' error can never occur.</t>
        </is>
      </c>
      <c r="J16" s="21" t="inlineStr">
        <is>
          <t>D13_Create_TrimsDescriptionLikeEditDoes</t>
        </is>
      </c>
      <c r="K16" s="21" t="inlineStr">
        <is>
          <t>Trim in create; return false from TryNormalizeSlug when characters were removed.</t>
        </is>
      </c>
      <c r="L16" s="22" t="inlineStr">
        <is>
          <t>Fixed</t>
        </is>
      </c>
      <c r="M16" s="22" t="inlineStr">
        <is>
          <t>Yes: failed in run 1, passes after fix (4896cce)</t>
        </is>
      </c>
    </row>
    <row r="17" ht="46.25" customHeight="1" s="11">
      <c r="A17" s="21" t="inlineStr">
        <is>
          <t>D14</t>
        </is>
      </c>
      <c r="B17" s="21" t="inlineStr">
        <is>
          <t>Voter registration has no email-format check and ignores the election window</t>
        </is>
      </c>
      <c r="C17" s="21" t="inlineStr">
        <is>
          <t>Medium</t>
        </is>
      </c>
      <c r="D17" s="21" t="inlineStr">
        <is>
          <t>P2</t>
        </is>
      </c>
      <c r="E17" s="21" t="inlineStr">
        <is>
          <t>VotingService.RegisterVoterByEmailAsync</t>
        </is>
      </c>
      <c r="F17" s="21" t="inlineStr">
        <is>
          <t>Owner of a program</t>
        </is>
      </c>
      <c r="G17" s="21" t="inlineStr">
        <is>
          <t>1) Register voter with email 'not-an-email'. 2) Register a voter after the program ended.</t>
        </is>
      </c>
      <c r="H17" s="21" t="inlineStr">
        <is>
          <t>Both rejected.</t>
        </is>
      </c>
      <c r="I17" s="21" t="inlineStr">
        <is>
          <t>Both accepted. Only null/whitespace is checked; name/email lengths rely on DB errors.</t>
        </is>
      </c>
      <c r="J17" s="21" t="inlineStr">
        <is>
          <t>D14_RegisterVoter_InvalidEmailFormat_IsRejected, D14_RegisterVoter_AfterElectionEnded_IsRejected</t>
        </is>
      </c>
      <c r="K17" s="21" t="inlineStr">
        <is>
          <t>Validate with MailAddress/EmailAddressAttribute, lengths, and program state.</t>
        </is>
      </c>
      <c r="L17" s="22" t="inlineStr">
        <is>
          <t>Fixed</t>
        </is>
      </c>
      <c r="M17" s="22" t="inlineStr">
        <is>
          <t>Yes: failed in run 1, passes after fix (4896cce)</t>
        </is>
      </c>
    </row>
    <row r="18" ht="57.45" customHeight="1" s="11">
      <c r="A18" s="21" t="inlineStr">
        <is>
          <t>D15</t>
        </is>
      </c>
      <c r="B18" s="21" t="inlineStr">
        <is>
          <t>Anyone can take over a pre-registered voter's slot by registering with that email</t>
        </is>
      </c>
      <c r="C18" s="21" t="inlineStr">
        <is>
          <t>Critical</t>
        </is>
      </c>
      <c r="D18" s="21" t="inlineStr">
        <is>
          <t>P1</t>
        </is>
      </c>
      <c r="E18" s="21" t="inlineStr">
        <is>
          <t>Areas/Identity/Pages/Account/Register.cshtml.cs (EmailConfirmed = true; LinkExistingVoterRegistrationsAsync); Program.cs (RequireConfirmedAccount = false)</t>
        </is>
      </c>
      <c r="F18" s="21" t="inlineStr">
        <is>
          <t>Owner registered victim@example.com as a voter; victim has no account yet</t>
        </is>
      </c>
      <c r="G18" s="21" t="inlineStr">
        <is>
          <t>1) Attacker registers an account with victim@example.com (no verification needed). 2) Log in. 3) Open the election and vote.</t>
        </is>
      </c>
      <c r="H18" s="21" t="inlineStr">
        <is>
          <t>Voter slot is linked only after the email is verified.</t>
        </is>
      </c>
      <c r="I18" s="21" t="inlineStr">
        <is>
          <t>Account is created confirmed and the voter row is linked automatically, so the attacker casts the victim's vote.</t>
        </is>
      </c>
      <c r="J18" s="21" t="inlineStr">
        <is>
          <t>(security) Selenium/manual: register with an unverified email and vote</t>
        </is>
      </c>
      <c r="K18" s="21" t="inlineStr">
        <is>
          <t>Require email confirmation before linking voters; link on confirmation.</t>
        </is>
      </c>
      <c r="L18" s="22" t="inlineStr">
        <is>
          <t>Open</t>
        </is>
      </c>
      <c r="M18" s="22" t="inlineStr">
        <is>
          <t>Not yet</t>
        </is>
      </c>
    </row>
    <row r="19" ht="23.85" customHeight="1" s="11">
      <c r="A19" s="21" t="inlineStr">
        <is>
          <t>D16</t>
        </is>
      </c>
      <c r="B19" s="21" t="inlineStr">
        <is>
          <t>Any signed-in user can self-register as a voter in any published program</t>
        </is>
      </c>
      <c r="C19" s="21" t="inlineStr">
        <is>
          <t>High</t>
        </is>
      </c>
      <c r="D19" s="21" t="inlineStr">
        <is>
          <t>P1</t>
        </is>
      </c>
      <c r="E19" s="21" t="inlineStr">
        <is>
          <t>VotingController.Join (RegistrationSource = "self")</t>
        </is>
      </c>
      <c r="F19" s="21" t="inlineStr">
        <is>
          <t>Published program intended for a closed list</t>
        </is>
      </c>
      <c r="G19" s="21" t="inlineStr">
        <is>
          <t>1) Create an account. 2) Open the vote page. 3) Click register, then vote.</t>
        </is>
      </c>
      <c r="H19" s="21" t="inlineStr">
        <is>
          <t>Closed programs accept only owner-registered voters.</t>
        </is>
      </c>
      <c r="I19" s="21" t="inlineStr">
        <is>
          <t>Self-registration is always open, so the owner's voter list does not limit eligibility.</t>
        </is>
      </c>
      <c r="J19" s="21" t="inlineStr">
        <is>
          <t>(add) VotingController.Join test — teammate scope</t>
        </is>
      </c>
      <c r="K19" s="21" t="inlineStr">
        <is>
          <t>Add an 'open registration' setting per program, default closed.</t>
        </is>
      </c>
      <c r="L19" s="22" t="inlineStr">
        <is>
          <t>Fixed</t>
        </is>
      </c>
      <c r="M19" s="22" t="inlineStr">
        <is>
          <t>Yes: teammate's test DV08 (VotingController)</t>
        </is>
      </c>
    </row>
    <row r="20" ht="23.85" customHeight="1" s="11">
      <c r="A20" s="21" t="inlineStr">
        <is>
          <t>D17</t>
        </is>
      </c>
      <c r="B20" s="21" t="inlineStr">
        <is>
          <t>Ballot secrecy is not preserved</t>
        </is>
      </c>
      <c r="C20" s="21" t="inlineStr">
        <is>
          <t>High</t>
        </is>
      </c>
      <c r="D20" s="21" t="inlineStr">
        <is>
          <t>P1</t>
        </is>
      </c>
      <c r="E20" s="21" t="inlineStr">
        <is>
          <t>Models/Vote.cs (VoterId + CandidateId + IpAddress + UserAgent)</t>
        </is>
      </c>
      <c r="F20" s="21" t="inlineStr">
        <is>
          <t>Database or admin access</t>
        </is>
      </c>
      <c r="G20" s="21" t="inlineStr">
        <is>
          <t>1) Query Votes joined with Voters.</t>
        </is>
      </c>
      <c r="H20" s="21" t="inlineStr">
        <is>
          <t>No link between a voter and their choice.</t>
        </is>
      </c>
      <c r="I20" s="21" t="inlineStr">
        <is>
          <t>Each vote row stores who voted for whom, plus IP and user agent.</t>
        </is>
      </c>
      <c r="J20" s="21" t="inlineStr">
        <is>
          <t>(review) data-model inspection</t>
        </is>
      </c>
      <c r="K20" s="21" t="inlineStr">
        <is>
          <t>Separate the 'has voted' ledger from the anonymous ballot; drop IP/user agent.</t>
        </is>
      </c>
      <c r="L20" s="22" t="inlineStr">
        <is>
          <t>Open</t>
        </is>
      </c>
      <c r="M20" s="22" t="inlineStr">
        <is>
          <t>Not yet</t>
        </is>
      </c>
    </row>
    <row r="21" ht="35.05" customHeight="1" s="11">
      <c r="A21" s="21" t="inlineStr">
        <is>
          <t>D18</t>
        </is>
      </c>
      <c r="B21" s="21" t="inlineStr">
        <is>
          <t>Hash chain does not cover the vote's content</t>
        </is>
      </c>
      <c r="C21" s="21" t="inlineStr">
        <is>
          <t>High</t>
        </is>
      </c>
      <c r="D21" s="21" t="inlineStr">
        <is>
          <t>P1</t>
        </is>
      </c>
      <c r="E21" s="21" t="inlineStr">
        <is>
          <t>BlockchainVote.GenerateHash / BlockchainService.IsChainValidForProgramAsync</t>
        </is>
      </c>
      <c r="F21" s="21" t="inlineStr">
        <is>
          <t>Program with blocks</t>
        </is>
      </c>
      <c r="G21" s="21" t="inlineStr">
        <is>
          <t>1) In the database change Votes.CandidateId for one vote. 2) Open Results.</t>
        </is>
      </c>
      <c r="H21" s="21" t="inlineStr">
        <is>
          <t>Chain reports invalid.</t>
        </is>
      </c>
      <c r="I21" s="21" t="inlineStr">
        <is>
          <t>Hash uses only VoteId + previous hash + timestamp, so the chain still reports valid.</t>
        </is>
      </c>
      <c r="J21" s="21" t="inlineStr">
        <is>
          <t>(add) BlockchainService test: tamper CandidateId and verify</t>
        </is>
      </c>
      <c r="K21" s="21" t="inlineStr">
        <is>
          <t>Include ProgramId, CandidateId, VoterId reference and VotedAt in the hash.</t>
        </is>
      </c>
      <c r="L21" s="22" t="inlineStr">
        <is>
          <t>Open</t>
        </is>
      </c>
      <c r="M21" s="22" t="inlineStr">
        <is>
          <t>Not yet</t>
        </is>
      </c>
    </row>
    <row r="22" ht="23.85" customHeight="1" s="11">
      <c r="A22" s="21" t="inlineStr">
        <is>
          <t>D19</t>
        </is>
      </c>
      <c r="B22" s="21" t="inlineStr">
        <is>
          <t>Chain validation cannot detect missing or truncated blocks</t>
        </is>
      </c>
      <c r="C22" s="21" t="inlineStr">
        <is>
          <t>Medium</t>
        </is>
      </c>
      <c r="D22" s="21" t="inlineStr">
        <is>
          <t>P2</t>
        </is>
      </c>
      <c r="E22" s="21" t="inlineStr">
        <is>
          <t>BlockchainService.IsChainValidForProgramAsync</t>
        </is>
      </c>
      <c r="F22" s="21" t="inlineStr">
        <is>
          <t>Votes exist without blocks, or last blocks deleted</t>
        </is>
      </c>
      <c r="G22" s="21" t="inlineStr">
        <is>
          <t>1) Delete the newest block rows. 2) Open Results.</t>
        </is>
      </c>
      <c r="H22" s="21" t="inlineStr">
        <is>
          <t>Invalid (votes without blocks).</t>
        </is>
      </c>
      <c r="I22" s="21" t="inlineStr">
        <is>
          <t>Returns true: only existing blocks are checked.</t>
        </is>
      </c>
      <c r="J22" s="21" t="inlineStr">
        <is>
          <t>(add) BlockchainService test: votes count != blocks count</t>
        </is>
      </c>
      <c r="K22" s="21" t="inlineStr">
        <is>
          <t>Compare vote count with block count and verify every vote has a block.</t>
        </is>
      </c>
      <c r="L22" s="22" t="inlineStr">
        <is>
          <t>Open</t>
        </is>
      </c>
      <c r="M22" s="22" t="inlineStr">
        <is>
          <t>Not yet</t>
        </is>
      </c>
    </row>
    <row r="23" ht="35.05" customHeight="1" s="11">
      <c r="A23" s="21" t="inlineStr">
        <is>
          <t>D20</t>
        </is>
      </c>
      <c r="B23" s="21" t="inlineStr">
        <is>
          <t>Block queue is in memory, drops writes when full, and is lost on restart</t>
        </is>
      </c>
      <c r="C23" s="21" t="inlineStr">
        <is>
          <t>Medium</t>
        </is>
      </c>
      <c r="D23" s="21" t="inlineStr">
        <is>
          <t>P2</t>
        </is>
      </c>
      <c r="E23" s="21" t="inlineStr">
        <is>
          <t>VoteBlockQueue (BoundedChannelFullMode.DropWrite), BlockchainBackgroundService</t>
        </is>
      </c>
      <c r="F23" s="21" t="inlineStr">
        <is>
          <t>Restart the app right after votes are cast</t>
        </is>
      </c>
      <c r="G23" s="21" t="inlineStr">
        <is>
          <t>1) Cast votes. 2) Restart before the worker runs.</t>
        </is>
      </c>
      <c r="H23" s="21" t="inlineStr">
        <is>
          <t>Every vote eventually gets a block.</t>
        </is>
      </c>
      <c r="I23" s="21" t="inlineStr">
        <is>
          <t>Queued vote ids are lost; the log promises a 'sweep' that does not exist.</t>
        </is>
      </c>
      <c r="J23" s="21" t="inlineStr">
        <is>
          <t>(add) background service test with queue at capacity</t>
        </is>
      </c>
      <c r="K23" s="21" t="inlineStr">
        <is>
          <t>On startup (and periodically) create blocks for votes without one.</t>
        </is>
      </c>
      <c r="L23" s="22" t="inlineStr">
        <is>
          <t>Open</t>
        </is>
      </c>
      <c r="M23" s="22" t="inlineStr">
        <is>
          <t>Not yet</t>
        </is>
      </c>
    </row>
    <row r="24" ht="23.85" customHeight="1" s="11">
      <c r="A24" s="21" t="inlineStr">
        <is>
          <t>D21</t>
        </is>
      </c>
      <c r="B24" s="21" t="inlineStr">
        <is>
          <t>Retry delays block the single queue reader</t>
        </is>
      </c>
      <c r="C24" s="21" t="inlineStr">
        <is>
          <t>Low</t>
        </is>
      </c>
      <c r="D24" s="21" t="inlineStr">
        <is>
          <t>P3</t>
        </is>
      </c>
      <c r="E24" s="21" t="inlineStr">
        <is>
          <t>BlockchainService retry policy (2 s, 4 s, 8 s) with a single-reader channel</t>
        </is>
      </c>
      <c r="F24" s="21" t="inlineStr">
        <is>
          <t>A vote whose block keeps failing</t>
        </is>
      </c>
      <c r="G24" s="21" t="inlineStr">
        <is>
          <t>1) Make block creation fail repeatedly.</t>
        </is>
      </c>
      <c r="H24" s="21" t="inlineStr">
        <is>
          <t>Other votes are not delayed.</t>
        </is>
      </c>
      <c r="I24" s="21" t="inlineStr">
        <is>
          <t>Each failing vote stalls the queue for about 14 seconds.</t>
        </is>
      </c>
      <c r="J24" s="21" t="inlineStr">
        <is>
          <t>(add) background service test with failing service</t>
        </is>
      </c>
      <c r="K24" s="21" t="inlineStr">
        <is>
          <t>Retry out of band or cap the delay.</t>
        </is>
      </c>
      <c r="L24" s="22" t="inlineStr">
        <is>
          <t>Open</t>
        </is>
      </c>
      <c r="M24" s="22" t="inlineStr">
        <is>
          <t>Not yet</t>
        </is>
      </c>
    </row>
    <row r="25" ht="35.05" customHeight="1" s="11">
      <c r="A25" s="21" t="inlineStr">
        <is>
          <t>D22</t>
        </is>
      </c>
      <c r="B25" s="21" t="inlineStr">
        <is>
          <t>Search orders by an unmapped property and may return HTTP 500</t>
        </is>
      </c>
      <c r="C25" s="21" t="inlineStr">
        <is>
          <t>High</t>
        </is>
      </c>
      <c r="D25" s="21" t="inlineStr">
        <is>
          <t>P1</t>
        </is>
      </c>
      <c r="E25" s="21" t="inlineStr">
        <is>
          <t>VotingController.Search (`OrderByDescending(p =&gt; p.IsActive)`; IsActive is [NotMapped])</t>
        </is>
      </c>
      <c r="F25" s="21" t="inlineStr">
        <is>
          <t>Published programs exist</t>
        </is>
      </c>
      <c r="G25" s="21" t="inlineStr">
        <is>
          <t>1) Request /Voting/Search?q=a.</t>
        </is>
      </c>
      <c r="H25" s="21" t="inlineStr">
        <is>
          <t>JSON list of up to 8 programs.</t>
        </is>
      </c>
      <c r="I25" s="21" t="inlineStr">
        <is>
          <t>EF Core cannot translate IsActive to SQL and is expected to throw InvalidOperationException. CONFIRM by calling the endpoint.</t>
        </is>
      </c>
      <c r="J25" s="21" t="inlineStr">
        <is>
          <t>(manual) GET /Voting/Search?q=a; Selenium search test</t>
        </is>
      </c>
      <c r="K25" s="21" t="inlineStr">
        <is>
          <t>Order by a SQL expression: p.IsPublished &amp;&amp; p.StartTime &lt;= now &amp;&amp; p.EndTime &gt; now.</t>
        </is>
      </c>
      <c r="L25" s="22" t="inlineStr">
        <is>
          <t>Fixed</t>
        </is>
      </c>
      <c r="M25" s="22" t="inlineStr">
        <is>
          <t>No test: fixed in 4896cce (code inspection)</t>
        </is>
      </c>
    </row>
    <row r="26" ht="23.85" customHeight="1" s="11">
      <c r="A26" s="21" t="inlineStr">
        <is>
          <t>D23</t>
        </is>
      </c>
      <c r="B26" s="21" t="inlineStr">
        <is>
          <t>Live tallies are visible to voters while voting is still open</t>
        </is>
      </c>
      <c r="C26" s="21" t="inlineStr">
        <is>
          <t>Medium</t>
        </is>
      </c>
      <c r="D26" s="21" t="inlineStr">
        <is>
          <t>P2</t>
        </is>
      </c>
      <c r="E26" s="21" t="inlineStr">
        <is>
          <t>VotingController.PublicResults</t>
        </is>
      </c>
      <c r="F26" s="21" t="inlineStr">
        <is>
          <t>Published, active program</t>
        </is>
      </c>
      <c r="G26" s="21" t="inlineStr">
        <is>
          <t>1) Open /Voting/PublicResults/{id} during the vote.</t>
        </is>
      </c>
      <c r="H26" s="21" t="inlineStr">
        <is>
          <t>Results hidden until the end (or per program setting).</t>
        </is>
      </c>
      <c r="I26" s="21" t="inlineStr">
        <is>
          <t>Counts are shown immediately, which can influence later voters.</t>
        </is>
      </c>
      <c r="J26" s="21" t="inlineStr">
        <is>
          <t>(add) VotingController test — teammate scope</t>
        </is>
      </c>
      <c r="K26" s="21" t="inlineStr">
        <is>
          <t>Return results only after EndTime unless the owner enables live results.</t>
        </is>
      </c>
      <c r="L26" s="22" t="inlineStr">
        <is>
          <t>Open</t>
        </is>
      </c>
      <c r="M26" s="22" t="inlineStr">
        <is>
          <t>Not yet</t>
        </is>
      </c>
    </row>
    <row r="27" ht="23.85" customHeight="1" s="11">
      <c r="A27" s="21" t="inlineStr">
        <is>
          <t>D24</t>
        </is>
      </c>
      <c r="B27" s="21" t="inlineStr">
        <is>
          <t>Unpublished (draft) programs can be opened by id</t>
        </is>
      </c>
      <c r="C27" s="21" t="inlineStr">
        <is>
          <t>Low</t>
        </is>
      </c>
      <c r="D27" s="21" t="inlineStr">
        <is>
          <t>P3</t>
        </is>
      </c>
      <c r="E27" s="21" t="inlineStr">
        <is>
          <t>VotingController.Vote (no IsPublished check; PublicResults does check)</t>
        </is>
      </c>
      <c r="F27" s="21" t="inlineStr">
        <is>
          <t>Draft program</t>
        </is>
      </c>
      <c r="G27" s="21" t="inlineStr">
        <is>
          <t>1) Open /Voting/Vote/{id} for a draft.</t>
        </is>
      </c>
      <c r="H27" s="21" t="inlineStr">
        <is>
          <t>404 like PublicResults.</t>
        </is>
      </c>
      <c r="I27" s="21" t="inlineStr">
        <is>
          <t>Closed page rendered with the program's data.</t>
        </is>
      </c>
      <c r="J27" s="21" t="inlineStr">
        <is>
          <t>(add) VotingController test — teammate scope</t>
        </is>
      </c>
      <c r="K27" s="21" t="inlineStr">
        <is>
          <t>Return NotFound when !IsPublished (except for the owner).</t>
        </is>
      </c>
      <c r="L27" s="22" t="inlineStr">
        <is>
          <t>Fixed</t>
        </is>
      </c>
      <c r="M27" s="22" t="inlineStr">
        <is>
          <t>Yes: teammate's test DV02 (VotingController)</t>
        </is>
      </c>
    </row>
    <row r="28" ht="15" customHeight="1" s="11">
      <c r="A28" s="21" t="inlineStr">
        <is>
          <t>D25</t>
        </is>
      </c>
      <c r="B28" s="21" t="inlineStr">
        <is>
          <t>Search has no maximum query length</t>
        </is>
      </c>
      <c r="C28" s="21" t="inlineStr">
        <is>
          <t>Low</t>
        </is>
      </c>
      <c r="D28" s="21" t="inlineStr">
        <is>
          <t>P3</t>
        </is>
      </c>
      <c r="E28" s="21" t="inlineStr">
        <is>
          <t>VotingController.Search</t>
        </is>
      </c>
      <c r="F28" s="21" t="inlineStr">
        <is>
          <t>None</t>
        </is>
      </c>
      <c r="G28" s="21" t="inlineStr">
        <is>
          <t>1) Call Search with a very long q.</t>
        </is>
      </c>
      <c r="H28" s="21" t="inlineStr">
        <is>
          <t>Rejected or truncated.</t>
        </is>
      </c>
      <c r="I28" s="21" t="inlineStr">
        <is>
          <t>Passed to a LIKE query unchanged.</t>
        </is>
      </c>
      <c r="J28" s="21" t="inlineStr">
        <is>
          <t>(add) Search test with 10 000-character q</t>
        </is>
      </c>
      <c r="K28" s="21" t="inlineStr">
        <is>
          <t>Limit q to e.g. 100 characters.</t>
        </is>
      </c>
      <c r="L28" s="22" t="inlineStr">
        <is>
          <t>Open</t>
        </is>
      </c>
      <c r="M28" s="22" t="inlineStr">
        <is>
          <t>Not yet</t>
        </is>
      </c>
    </row>
    <row r="29" ht="35.05" customHeight="1" s="11">
      <c r="A29" s="21" t="inlineStr">
        <is>
          <t>D26</t>
        </is>
      </c>
      <c r="B29" s="21" t="inlineStr">
        <is>
          <t>Selenium tests report a pass when nothing ran</t>
        </is>
      </c>
      <c r="C29" s="21" t="inlineStr">
        <is>
          <t>Low</t>
        </is>
      </c>
      <c r="D29" s="21" t="inlineStr">
        <is>
          <t>P3</t>
        </is>
      </c>
      <c r="E29" s="21" t="inlineStr">
        <is>
          <t>Tests/ProgramOwnerSeleniumTests.cs (LoginAsConfiguredOwner returns null -&gt; test returns)</t>
        </is>
      </c>
      <c r="F29" s="21" t="inlineStr">
        <is>
          <t>AMARTOOLS_* environment variables not set</t>
        </is>
      </c>
      <c r="G29" s="21" t="inlineStr">
        <is>
          <t>1) Run dotnet test without the variables.</t>
        </is>
      </c>
      <c r="H29" s="21" t="inlineStr">
        <is>
          <t>Tests reported as skipped.</t>
        </is>
      </c>
      <c r="I29" s="21" t="inlineStr">
        <is>
          <t>Before the fix the legacy tests passed without running a browser when the variables were missing, and failed with a click-intercepted error when they were set.</t>
        </is>
      </c>
      <c r="J29" s="21" t="inlineStr">
        <is>
          <t>SeleniumFact attribute in ProgramOwnerSeleniumFlowTests.cs</t>
        </is>
      </c>
      <c r="K29" s="21" t="inlineStr">
        <is>
          <t>Use a skippable fact (provided).</t>
        </is>
      </c>
      <c r="L29" s="22" t="inlineStr">
        <is>
          <t>Fixed</t>
        </is>
      </c>
      <c r="M29" s="22" t="inlineStr">
        <is>
          <t>Yes: Selenium tests now report Skipped</t>
        </is>
      </c>
    </row>
    <row r="30" ht="35.05" customHeight="1" s="11">
      <c r="A30" s="21" t="inlineStr">
        <is>
          <t>D27</t>
        </is>
      </c>
      <c r="B30" s="21" t="inlineStr">
        <is>
          <t>Nullable-reference warnings in four views</t>
        </is>
      </c>
      <c r="C30" s="21" t="inlineStr">
        <is>
          <t>Low</t>
        </is>
      </c>
      <c r="D30" s="21" t="inlineStr">
        <is>
          <t>P3</t>
        </is>
      </c>
      <c r="E30" s="21" t="inlineStr">
        <is>
          <t>Vote.cshtml(9), PublicResults.cshtml(9), VotingAdmin/Results.cshtml(176), Shared/CreateProgram.cshtml(57)</t>
        </is>
      </c>
      <c r="F30" s="21" t="inlineStr">
        <is>
          <t>dotnet build</t>
        </is>
      </c>
      <c r="G30" s="21" t="inlineStr">
        <is>
          <t>1) Build the solution.</t>
        </is>
      </c>
      <c r="H30" s="21" t="inlineStr">
        <is>
          <t>No warnings.</t>
        </is>
      </c>
      <c r="I30" s="21" t="inlineStr">
        <is>
          <t>4 x CS8602 (Dereference of a possibly null reference).</t>
        </is>
      </c>
      <c r="J30" s="21" t="inlineStr">
        <is>
          <t>dotnet build output</t>
        </is>
      </c>
      <c r="K30" s="21" t="inlineStr">
        <is>
          <t>Use Model! or declare non-nullable model.</t>
        </is>
      </c>
      <c r="L30" s="22" t="inlineStr">
        <is>
          <t>Fixed</t>
        </is>
      </c>
      <c r="M30" s="22" t="inlineStr">
        <is>
          <t>Yes: build reports 0 warnings</t>
        </is>
      </c>
    </row>
    <row r="31" ht="23.85" customHeight="1" s="11">
      <c r="A31" s="21" t="inlineStr">
        <is>
          <t>D28</t>
        </is>
      </c>
      <c r="B31" s="21" t="inlineStr">
        <is>
          <t>A real Data Protection key file is present in the project folder</t>
        </is>
      </c>
      <c r="C31" s="21" t="inlineStr">
        <is>
          <t>Low</t>
        </is>
      </c>
      <c r="D31" s="21" t="inlineStr">
        <is>
          <t>P3</t>
        </is>
      </c>
      <c r="E31" s="21" t="inlineStr">
        <is>
          <t>.keys/ (project root of the submitted archive)</t>
        </is>
      </c>
      <c r="F31" s="21" t="inlineStr">
        <is>
          <t>Archive or image built from the folder</t>
        </is>
      </c>
      <c r="G31" s="21" t="inlineStr">
        <is>
          <t>1) Inspect the tar / Docker build context.</t>
        </is>
      </c>
      <c r="H31" s="21" t="inlineStr">
        <is>
          <t>No secrets in the archive or the image.</t>
        </is>
      </c>
      <c r="I31" s="21" t="inlineStr">
        <is>
          <t>Key file present; .gitignore and .dockerignore cover it but the archive still contains it.</t>
        </is>
      </c>
      <c r="J31" s="21" t="inlineStr">
        <is>
          <t>(process) archive review</t>
        </is>
      </c>
      <c r="K31" s="21" t="inlineStr">
        <is>
          <t>Delete .keys before archiving; keep it out of submissions.</t>
        </is>
      </c>
      <c r="L31" s="22" t="inlineStr">
        <is>
          <t>Fixed</t>
        </is>
      </c>
      <c r="M31" s="22" t="inlineStr">
        <is>
          <t>N/A: key file removed</t>
        </is>
      </c>
    </row>
    <row r="32" ht="46.25" customHeight="1" s="11">
      <c r="A32" s="21" t="inlineStr">
        <is>
          <t>D29</t>
        </is>
      </c>
      <c r="B32" s="21" t="inlineStr">
        <is>
          <t>Voter name length is not validated on registration (model rule 2..150)</t>
        </is>
      </c>
      <c r="C32" s="21" t="inlineStr">
        <is>
          <t>Low</t>
        </is>
      </c>
      <c r="D32" s="21" t="inlineStr">
        <is>
          <t>P3</t>
        </is>
      </c>
      <c r="E32" s="21" t="inlineStr">
        <is>
          <t>VotingService.RegisterVoterByEmailAsync (called from ProgramOwnerController.RegisterVoter POST, line ~319)</t>
        </is>
      </c>
      <c r="F32" s="21" t="inlineStr">
        <is>
          <t>Owner of a program; crafted POST (browser maxlength can be bypassed)</t>
        </is>
      </c>
      <c r="G32" s="21" t="inlineStr">
        <is>
          <t>1) Register a voter with a 1-character name. 2) Register one with a 151-character name.</t>
        </is>
      </c>
      <c r="H32" s="21" t="inlineStr">
        <is>
          <t>Both rejected with a validation message.</t>
        </is>
      </c>
      <c r="I32" s="21" t="inlineStr">
        <is>
          <t>Both are accepted by the service (only null/whitespace is checked); the long name fails later at the database with a generic error.</t>
        </is>
      </c>
      <c r="J32" s="21" t="inlineStr">
        <is>
          <t>D29_RegisterVoter_NameOutsideAllowedLength_IsRejected (2 cases)</t>
        </is>
      </c>
      <c r="K32" s="21" t="inlineStr">
        <is>
          <t>Check Name length 2..150 (and email 200, memberId 100) before SaveChanges.</t>
        </is>
      </c>
      <c r="L32" s="22" t="inlineStr">
        <is>
          <t>Fixed</t>
        </is>
      </c>
      <c r="M32" s="22" t="inlineStr">
        <is>
          <t>Yes: D29 test (7 BVA points) passes</t>
        </is>
      </c>
    </row>
    <row r="33" ht="57.45" customHeight="1" s="11">
      <c r="A33" s="21" t="inlineStr">
        <is>
          <t>D30</t>
        </is>
      </c>
      <c r="B33" s="21" t="inlineStr">
        <is>
          <t>Stored XSS / attribute injection through the candidate name in the delete confirmation</t>
        </is>
      </c>
      <c r="C33" s="21" t="inlineStr">
        <is>
          <t>High</t>
        </is>
      </c>
      <c r="D33" s="21" t="inlineStr">
        <is>
          <t>P1</t>
        </is>
      </c>
      <c r="E33" s="21" t="inlineStr">
        <is>
          <t>Views/VotingAdmin/ManageCandidates.cshtml line 259 (`onsubmit="return confirm('Delete @Html.Raw(c.Name.Replace(...))?')"`)</t>
        </is>
      </c>
      <c r="F33" s="21" t="inlineStr">
        <is>
          <t>A ProgramOwner adds a candidate; an Admin (or the owner) opens ManageCandidates</t>
        </is>
      </c>
      <c r="G33" s="21" t="inlineStr">
        <is>
          <t>1) Add a candidate named  Eve" data-injected="1  (or \');alert(1);// ). 2) Open ManageCandidates and inspect the delete form / submit it.</t>
        </is>
      </c>
      <c r="H33" s="21" t="inlineStr">
        <is>
          <t>The name is encoded; the form has no extra attributes and no script runs.</t>
        </is>
      </c>
      <c r="I33" s="21" t="inlineStr">
        <is>
          <t>Html.Raw writes the name unencoded inside an HTML attribute and a JavaScript string. A double quote closes the attribute; a backslash defeats the single-quote escaping. A ProgramOwner can therefore run script in an Admin's session.</t>
        </is>
      </c>
      <c r="J33" s="21" t="inlineStr">
        <is>
          <t>Selenium S12 (AddCandidate_NameWithQuote_DoesNotInjectAttributesIntoDeleteForm); manual: use the name above</t>
        </is>
      </c>
      <c r="K33" s="21" t="inlineStr">
        <is>
          <t>Remove Html.Raw; use @Json.Serialize(c.Name) inside the handler, or a data attribute plus JavaScript confirm.</t>
        </is>
      </c>
      <c r="L33" s="22" t="inlineStr">
        <is>
          <t>Fixed</t>
        </is>
      </c>
      <c r="M33" s="22" t="inlineStr">
        <is>
          <t>Yes: Selenium S12 passes (2026-10-13, selenium-final.trx)</t>
        </is>
      </c>
    </row>
    <row r="34" ht="46.25" customHeight="1" s="11">
      <c r="A34" s="21" t="inlineStr">
        <is>
          <t>D31</t>
        </is>
      </c>
      <c r="B34" s="21" t="inlineStr">
        <is>
          <t>Custom URL slug is collected but never used, and its uniqueness is not enforced by the database</t>
        </is>
      </c>
      <c r="C34" s="21" t="inlineStr">
        <is>
          <t>Medium</t>
        </is>
      </c>
      <c r="D34" s="21" t="inlineStr">
        <is>
          <t>P2</t>
        </is>
      </c>
      <c r="E34" s="21" t="inlineStr">
        <is>
          <t>CreateProgram.cshtml (Slug input); VotingService.ValidateProgramAsync; VotingDbContext / Initialcreate migration (no unique index on Slug)</t>
        </is>
      </c>
      <c r="F34" s="21" t="inlineStr">
        <is>
          <t>Program created with a slug</t>
        </is>
      </c>
      <c r="G34" s="21" t="inlineStr">
        <is>
          <t>1) Create a program with slug my-election. 2) Open /Voting/Vote/my-election or any slug URL. 3) Create two programs with the same slug at the same time.</t>
        </is>
      </c>
      <c r="H34" s="21" t="inlineStr">
        <is>
          <t>The program opens through its slug, and duplicate slugs are impossible.</t>
        </is>
      </c>
      <c r="I34" s="21" t="inlineStr">
        <is>
          <t>No controller or route reads Slug (published links use the numeric id), so the feature has no effect. Uniqueness is only an application-level check, so concurrent creates can store duplicates.</t>
        </is>
      </c>
      <c r="J34" s="21" t="inlineStr">
        <is>
          <t>Code search: `.Slug` is read only in VotingService; manual: slug URL returns 404</t>
        </is>
      </c>
      <c r="K34" s="21" t="inlineStr">
        <is>
          <t>Add routing/lookup by slug and a unique case-insensitive index, or remove the field.</t>
        </is>
      </c>
      <c r="L34" s="22" t="inlineStr">
        <is>
          <t>Open</t>
        </is>
      </c>
      <c r="M34" s="22" t="inlineStr">
        <is>
          <t>Not yet</t>
        </is>
      </c>
    </row>
    <row r="35" ht="46.25" customHeight="1" s="11">
      <c r="A35" s="21" t="inlineStr">
        <is>
          <t>D32</t>
        </is>
      </c>
      <c r="B35" s="21" t="inlineStr">
        <is>
          <t>Verification fields are never set or read (Vote.IsVerified, Vote.VerifiedAt, Vote.BlockchainReference, Voter.IsVerified, Voter.VerifiedAt)</t>
        </is>
      </c>
      <c r="C35" s="21" t="inlineStr">
        <is>
          <t>Low</t>
        </is>
      </c>
      <c r="D35" s="21" t="inlineStr">
        <is>
          <t>P3</t>
        </is>
      </c>
      <c r="E35" s="21" t="inlineStr">
        <is>
          <t>Models/Vote.cs lines 50-55; Models/Voter.cs lines 60-61</t>
        </is>
      </c>
      <c r="F35" s="21" t="inlineStr">
        <is>
          <t>Any recorded vote</t>
        </is>
      </c>
      <c r="G35" s="21" t="inlineStr">
        <is>
          <t>1) Cast a vote. 2) Inspect the Votes and Voters rows.</t>
        </is>
      </c>
      <c r="H35" s="21" t="inlineStr">
        <is>
          <t>Votes reference their blockchain block and verification state is meaningful.</t>
        </is>
      </c>
      <c r="I35" s="21" t="inlineStr">
        <is>
          <t>The columns always keep their defaults (false / null), so a vote row cannot be tied to its block and nothing reports verification.</t>
        </is>
      </c>
      <c r="J35" s="21" t="inlineStr">
        <is>
          <t>Code search: no assignment or read outside the model classes</t>
        </is>
      </c>
      <c r="K35" s="21" t="inlineStr">
        <is>
          <t>Populate BlockchainReference when the block is created, or remove the unused columns.</t>
        </is>
      </c>
      <c r="L35" s="22" t="inlineStr">
        <is>
          <t>Open</t>
        </is>
      </c>
      <c r="M35" s="22" t="inlineStr">
        <is>
          <t>Not yet</t>
        </is>
      </c>
    </row>
    <row r="36" ht="46.25" customHeight="1" s="11">
      <c r="A36" s="21" t="inlineStr">
        <is>
          <t>D33</t>
        </is>
      </c>
      <c r="B36" s="21" t="inlineStr">
        <is>
          <t>Delete tells the owner to "unpublish first" for an active program, which the D01 fix made impossible</t>
        </is>
      </c>
      <c r="C36" s="21" t="inlineStr">
        <is>
          <t>Low</t>
        </is>
      </c>
      <c r="D36" s="21" t="inlineStr">
        <is>
          <t>P3</t>
        </is>
      </c>
      <c r="E36" s="21" t="inlineStr">
        <is>
          <t>ProgramOwnerController.Delete (line ~406)</t>
        </is>
      </c>
      <c r="F36" s="21" t="inlineStr">
        <is>
          <t>Published program that has started but not ended; logged in as owner</t>
        </is>
      </c>
      <c r="G36" s="21" t="inlineStr">
        <is>
          <t>1) Click Delete on an active program. 2) Follow the message and try to unpublish it through Edit.</t>
        </is>
      </c>
      <c r="H36" s="21" t="inlineStr">
        <is>
          <t>The message explains that the program can be deleted only after voting ends.</t>
        </is>
      </c>
      <c r="I36" s="21" t="inlineStr">
        <is>
          <t>The message said 'Unpublish it first', but the service rejects any IsPublished change after voting has started.</t>
        </is>
      </c>
      <c r="J36" s="21" t="inlineStr">
        <is>
          <t>D33_Delete_ActiveProgram_DoesNotSuggestAnImpossibleUnpublish</t>
        </is>
      </c>
      <c r="K36" s="21" t="inlineStr">
        <is>
          <t>Use a different message when program.HasStarted (implemented).</t>
        </is>
      </c>
      <c r="L36" s="22" t="inlineStr">
        <is>
          <t>Fixed</t>
        </is>
      </c>
      <c r="M36" s="22" t="inlineStr">
        <is>
          <t>Yes: failed before the fix, passes now (2026-10-13)</t>
        </is>
      </c>
    </row>
    <row r="37" ht="46.25" customHeight="1" s="11">
      <c r="A37" s="21" t="inlineStr">
        <is>
          <t>D34</t>
        </is>
      </c>
      <c r="B37" s="21" t="inlineStr">
        <is>
          <t>ManageCandidates header always shows '0 vote(s)'</t>
        </is>
      </c>
      <c r="C37" s="21" t="inlineStr">
        <is>
          <t>Low</t>
        </is>
      </c>
      <c r="D37" s="21" t="inlineStr">
        <is>
          <t>P3</t>
        </is>
      </c>
      <c r="E37" s="21" t="inlineStr">
        <is>
          <t>ProgramOwnerController.ManageCandidates and VotingAdminController.ManageCandidates (program loaded without Votes); ManageCandidates.cshtml line 186</t>
        </is>
      </c>
      <c r="F37" s="21" t="inlineStr">
        <is>
          <t>Program with recorded votes</t>
        </is>
      </c>
      <c r="G37" s="21" t="inlineStr">
        <is>
          <t>1) Open ManageCandidates for a program that has votes.</t>
        </is>
      </c>
      <c r="H37" s="21" t="inlineStr">
        <is>
          <t>The header shows the number of recorded votes.</t>
        </is>
      </c>
      <c r="I37" s="21" t="inlineStr">
        <is>
          <t>The header always shows 0 vote(s): GetProgramWithCandidatesAsync does not load Votes, and TotalVotes counted the empty collection.</t>
        </is>
      </c>
      <c r="J37" s="21" t="inlineStr">
        <is>
          <t>D34_ManageCandidates_HeaderVoteCountIncludesRecordedVotes</t>
        </is>
      </c>
      <c r="K37" s="21" t="inlineStr">
        <is>
          <t>Count the votes in the database (LoadedVoteCount) in both actions (implemented).</t>
        </is>
      </c>
      <c r="L37" s="22" t="inlineStr">
        <is>
          <t>Fixed</t>
        </is>
      </c>
      <c r="M37" s="22" t="inlineStr">
        <is>
          <t>Yes: fails before the fix, passes now (2026-10-13)</t>
        </is>
      </c>
    </row>
  </sheetData>
  <autoFilter ref="A3:M35"/>
  <dataValidations count="2">
    <dataValidation sqref="L4:L35" showDropDown="0" showInputMessage="0" showErrorMessage="0" allowBlank="0" type="list" errorStyle="stop" operator="between">
      <formula1>"Open,Confirmed,Partly fixed,Fixed,Rejected"</formula1>
      <formula2>0</formula2>
    </dataValidation>
    <dataValidation sqref="M4:M35" showDropDown="0" showInputMessage="0" showErrorMessage="0" allowBlank="1" type="list" errorStyle="stop" operator="between">
      <formula1>"Yes,No,Not yet"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6" customWidth="1" style="10" min="1" max="1"/>
    <col width="52" customWidth="1" style="10" min="2" max="2"/>
    <col width="10" customWidth="1" style="10" min="3" max="3"/>
    <col width="40" customWidth="1" style="10" min="4" max="4"/>
  </cols>
  <sheetData>
    <row r="1" ht="17.35" customHeight="1" s="11">
      <c r="A1" s="12" t="inlineStr">
        <is>
          <t>Selenium flow tests (ProgramOwnerSeleniumFlowTests): all 12 passed on 2026-10-13 03:06 against the restarted app with all fixes (selenium-final.trx); S01-S11 also passed on 2026-10-09</t>
        </is>
      </c>
    </row>
    <row r="3" ht="15" customHeight="1" s="11">
      <c r="A3" s="14" t="inlineStr">
        <is>
          <t>Test</t>
        </is>
      </c>
      <c r="B3" s="14" t="inlineStr">
        <is>
          <t>Scenario</t>
        </is>
      </c>
      <c r="C3" s="14" t="inlineStr">
        <is>
          <t>Result</t>
        </is>
      </c>
      <c r="D3" s="14" t="inlineStr">
        <is>
          <t>Related defect</t>
        </is>
      </c>
    </row>
    <row r="4" ht="15" customHeight="1" s="11">
      <c r="A4" s="21" t="inlineStr">
        <is>
          <t>Dashboard_IsShownAfterLogin</t>
        </is>
      </c>
      <c r="B4" s="21" t="inlineStr">
        <is>
          <t>Login and dashboard</t>
        </is>
      </c>
      <c r="C4" s="21" t="inlineStr">
        <is>
          <t>Pass</t>
        </is>
      </c>
      <c r="D4" s="21" t="n"/>
    </row>
    <row r="5" ht="15" customHeight="1" s="11">
      <c r="A5" s="21" t="inlineStr">
        <is>
          <t>CreateProgram_ValidInput_AppearsOnDashboard</t>
        </is>
      </c>
      <c r="B5" s="21" t="inlineStr">
        <is>
          <t>Create a program through the form</t>
        </is>
      </c>
      <c r="C5" s="21" t="inlineStr">
        <is>
          <t>Pass</t>
        </is>
      </c>
      <c r="D5" s="21" t="n"/>
    </row>
    <row r="6" ht="15" customHeight="1" s="11">
      <c r="A6" s="21" t="inlineStr">
        <is>
          <t>CreateProgram_DurationUnderFiveMinutes_KeepsTheTimesTheUserTyped</t>
        </is>
      </c>
      <c r="B6" s="21" t="inlineStr">
        <is>
          <t>Client-side 5-minute alert; typed times stay in the form</t>
        </is>
      </c>
      <c r="C6" s="21" t="inlineStr">
        <is>
          <t>Pass</t>
        </is>
      </c>
      <c r="D6" s="21" t="inlineStr">
        <is>
          <t>D06 (server side is covered by the unit test)</t>
        </is>
      </c>
    </row>
    <row r="7" ht="15" customHeight="1" s="11">
      <c r="A7" s="21" t="inlineStr">
        <is>
          <t>AddCandidate_ValidInput_ShowsSuccess</t>
        </is>
      </c>
      <c r="B7" s="21" t="inlineStr">
        <is>
          <t>Add candidate</t>
        </is>
      </c>
      <c r="C7" s="21" t="inlineStr">
        <is>
          <t>Pass</t>
        </is>
      </c>
      <c r="D7" s="21" t="n"/>
    </row>
    <row r="8" ht="15" customHeight="1" s="11">
      <c r="A8" s="21" t="inlineStr">
        <is>
          <t>AddCandidate_DuplicateCode_ShowsError</t>
        </is>
      </c>
      <c r="B8" s="21" t="inlineStr">
        <is>
          <t>Duplicate candidate code</t>
        </is>
      </c>
      <c r="C8" s="21" t="inlineStr">
        <is>
          <t>Pass</t>
        </is>
      </c>
      <c r="D8" s="21" t="n"/>
    </row>
    <row r="9" ht="15" customHeight="1" s="11">
      <c r="A9" s="21" t="inlineStr">
        <is>
          <t>AddCandidate_JavascriptImageUrl_IsRejected</t>
        </is>
      </c>
      <c r="B9" s="21" t="inlineStr">
        <is>
          <t>javascript: image URL rejected</t>
        </is>
      </c>
      <c r="C9" s="21" t="inlineStr">
        <is>
          <t>Pass</t>
        </is>
      </c>
      <c r="D9" s="21" t="n"/>
    </row>
    <row r="10" ht="15" customHeight="1" s="11">
      <c r="A10" s="21" t="inlineStr">
        <is>
          <t>AddCandidate_ProtocolRelativeImageUrl_IsRejected</t>
        </is>
      </c>
      <c r="B10" s="21" t="inlineStr">
        <is>
          <t>//host image URL rejected</t>
        </is>
      </c>
      <c r="C10" s="21" t="inlineStr">
        <is>
          <t>Pass</t>
        </is>
      </c>
      <c r="D10" s="21" t="inlineStr">
        <is>
          <t>D09 regression</t>
        </is>
      </c>
    </row>
    <row r="11" ht="15" customHeight="1" s="11">
      <c r="A11" s="21" t="inlineStr">
        <is>
          <t>AddCandidate_SingleCharacterName_IsRejected</t>
        </is>
      </c>
      <c r="B11" s="21" t="inlineStr">
        <is>
          <t>1-character name rejected</t>
        </is>
      </c>
      <c r="C11" s="21" t="inlineStr">
        <is>
          <t>Pass</t>
        </is>
      </c>
      <c r="D11" s="21" t="inlineStr">
        <is>
          <t>D07 regression</t>
        </is>
      </c>
    </row>
    <row r="12" ht="15" customHeight="1" s="11">
      <c r="A12" s="21" t="inlineStr">
        <is>
          <t>RegisterVoter_ValidInput_ShowsSuccess</t>
        </is>
      </c>
      <c r="B12" s="21" t="inlineStr">
        <is>
          <t>Register voter</t>
        </is>
      </c>
      <c r="C12" s="21" t="inlineStr">
        <is>
          <t>Pass</t>
        </is>
      </c>
      <c r="D12" s="21" t="n"/>
    </row>
    <row r="13" ht="15" customHeight="1" s="11">
      <c r="A13" s="21" t="inlineStr">
        <is>
          <t>RegisterVoter_DuplicateEmail_ShowsError</t>
        </is>
      </c>
      <c r="B13" s="21" t="inlineStr">
        <is>
          <t>Duplicate voter email</t>
        </is>
      </c>
      <c r="C13" s="21" t="inlineStr">
        <is>
          <t>Pass</t>
        </is>
      </c>
      <c r="D13" s="21" t="n"/>
    </row>
    <row r="14" ht="15" customHeight="1" s="11">
      <c r="A14" s="21" t="inlineStr">
        <is>
          <t>DeleteProgram_Unpublished_RemovesItFromTheDashboard</t>
        </is>
      </c>
      <c r="B14" s="21" t="inlineStr">
        <is>
          <t>Delete unpublished program (confirm dialog)</t>
        </is>
      </c>
      <c r="C14" s="21" t="inlineStr">
        <is>
          <t>Pass</t>
        </is>
      </c>
      <c r="D14" s="21" t="n"/>
    </row>
    <row r="15">
      <c r="A15" s="21" t="inlineStr">
        <is>
          <t>DeleteCandidate_NameWithQuotesAndMarkup_IsShownLiterallyInConfirmation</t>
        </is>
      </c>
      <c r="B15" s="21" t="inlineStr">
        <is>
          <t>Candidate name with quotes and markup is shown literally in the delete confirmation</t>
        </is>
      </c>
      <c r="C15" s="21" t="inlineStr">
        <is>
          <t>Pass</t>
        </is>
      </c>
      <c r="D15" s="21" t="inlineStr">
        <is>
          <t>D30 regression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2026-10-09T07:01:53Z</dcterms:created>
  <dcterms:modified xsi:type="dcterms:W3CDTF">2026-10-12T21:07:45Z</dcterms:modified>
  <cp:revision>0</cp:revision>
</cp:coreProperties>
</file>