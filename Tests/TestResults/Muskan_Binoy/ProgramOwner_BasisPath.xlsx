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Paths" sheetId="2" state="visible" r:id="rId2"/>
    <sheet name="Node Legend" sheetId="3" state="visible" r:id="rId3"/>
  </sheets>
  <definedNames>
    <definedName name="_xlnm._FilterDatabase" localSheetId="1" hidden="1">'Paths'!$A$4:$H$66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i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  <fill>
      <patternFill patternType="solid">
        <fgColor rgb="FFD9D9D9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4" min="1" max="1"/>
    <col width="12" customWidth="1" style="14" min="2" max="4"/>
    <col width="10" customWidth="1" style="14" min="5" max="5"/>
    <col width="12" customWidth="1" style="14" min="6" max="6"/>
    <col width="14" customWidth="1" style="14" min="7" max="7"/>
    <col width="12" customWidth="1" style="14" min="8" max="8"/>
    <col width="10" customWidth="1" style="14" min="9" max="9"/>
    <col width="12" customWidth="1" style="14" min="10" max="10"/>
    <col width="8" customWidth="1" style="14" min="11" max="11"/>
    <col width="9" customWidth="1" style="14" min="12" max="12"/>
    <col width="11" customWidth="1" style="14" min="13" max="13"/>
  </cols>
  <sheetData>
    <row r="1" ht="16.15" customHeight="1" s="15">
      <c r="A1" s="16" t="inlineStr">
        <is>
          <t>Basis path testing: ProgramOwnerController, 10 functions (source as of 2026-10-13)</t>
        </is>
      </c>
    </row>
    <row r="2" ht="43.5" customHeight="1" s="15">
      <c r="A2" s="17" t="inlineStr">
        <is>
          <t>V(G) = decision nodes + 1, cross-checked with V(G) = E - N + 2. Blue cells are counted from the control-flow graphs in BasisPath_Diagram1.png / BasisPath_Diagram2.png, which match Controllers/ProgramOwnerController.cs after the defect fixes (commit 4896cce and 2026-10-13). Black cells are formulas.</t>
        </is>
      </c>
    </row>
    <row r="4" ht="31.5" customHeight="1" s="15">
      <c r="A4" s="18" t="inlineStr">
        <is>
          <t>Function</t>
        </is>
      </c>
      <c r="B4" s="18" t="inlineStr">
        <is>
          <t>Source lines</t>
        </is>
      </c>
      <c r="C4" s="18" t="inlineStr">
        <is>
          <t>Decision nodes (P)</t>
        </is>
      </c>
      <c r="D4" s="18" t="inlineStr">
        <is>
          <t>V(G) = P + 1</t>
        </is>
      </c>
      <c r="E4" s="18" t="inlineStr">
        <is>
          <t>Edges (E)</t>
        </is>
      </c>
      <c r="F4" s="18" t="inlineStr">
        <is>
          <t>Nodes (N, incl. End)</t>
        </is>
      </c>
      <c r="G4" s="18" t="inlineStr">
        <is>
          <t>V(G) = E - N + 2</t>
        </is>
      </c>
      <c r="H4" s="18" t="inlineStr">
        <is>
          <t>V(G) check</t>
        </is>
      </c>
      <c r="I4" s="18" t="inlineStr">
        <is>
          <t>Paths listed</t>
        </is>
      </c>
      <c r="J4" s="18" t="inlineStr">
        <is>
          <t>Paths = V(G)?</t>
        </is>
      </c>
      <c r="K4" s="18" t="inlineStr">
        <is>
          <t>Pass</t>
        </is>
      </c>
      <c r="L4" s="18" t="inlineStr">
        <is>
          <t>No test</t>
        </is>
      </c>
      <c r="M4" s="18" t="inlineStr">
        <is>
          <t>Infeasible</t>
        </is>
      </c>
    </row>
    <row r="5" ht="15" customHeight="1" s="15">
      <c r="A5" s="19" t="inlineStr">
        <is>
          <t>MyPrograms</t>
        </is>
      </c>
      <c r="B5" s="20" t="inlineStr">
        <is>
          <t>33-48</t>
        </is>
      </c>
      <c r="C5" s="20" t="n">
        <v>1</v>
      </c>
      <c r="D5" s="19">
        <f>C5+1</f>
        <v/>
      </c>
      <c r="E5" s="20" t="n">
        <v>7</v>
      </c>
      <c r="F5" s="20" t="n">
        <v>7</v>
      </c>
      <c r="G5" s="19">
        <f>E5-F5+2</f>
        <v/>
      </c>
      <c r="H5" s="19">
        <f>IF(D5=G5,"OK","MISMATCH")</f>
        <v/>
      </c>
      <c r="I5" s="19">
        <f>COUNTIF(Paths!$A$5:$A$73,A5)</f>
        <v/>
      </c>
      <c r="J5" s="19">
        <f>IF(I5=D5,"OK","MISMATCH")</f>
        <v/>
      </c>
      <c r="K5" s="19">
        <f>COUNTIFS(Paths!$A$5:$A$73,A5,Paths!$G$5:$G$73,"Pass")</f>
        <v/>
      </c>
      <c r="L5" s="19">
        <f>COUNTIFS(Paths!$A$5:$A$73,A5,Paths!$G$5:$G$73,"No test")</f>
        <v/>
      </c>
      <c r="M5" s="19">
        <f>COUNTIFS(Paths!$A$5:$A$73,A5,Paths!$G$5:$G$73,"Infeasible")</f>
        <v/>
      </c>
    </row>
    <row r="6" ht="15" customHeight="1" s="15">
      <c r="A6" s="19" t="inlineStr">
        <is>
          <t>Create (POST)</t>
        </is>
      </c>
      <c r="B6" s="20" t="inlineStr">
        <is>
          <t>66-90</t>
        </is>
      </c>
      <c r="C6" s="20" t="n">
        <v>4</v>
      </c>
      <c r="D6" s="19">
        <f>C6+1</f>
        <v/>
      </c>
      <c r="E6" s="20" t="n">
        <v>15</v>
      </c>
      <c r="F6" s="20" t="n">
        <v>12</v>
      </c>
      <c r="G6" s="19">
        <f>E6-F6+2</f>
        <v/>
      </c>
      <c r="H6" s="19">
        <f>IF(D6=G6,"OK","MISMATCH")</f>
        <v/>
      </c>
      <c r="I6" s="19">
        <f>COUNTIF(Paths!$A$5:$A$73,A6)</f>
        <v/>
      </c>
      <c r="J6" s="19">
        <f>IF(I6=D6,"OK","MISMATCH")</f>
        <v/>
      </c>
      <c r="K6" s="19">
        <f>COUNTIFS(Paths!$A$5:$A$73,A6,Paths!$G$5:$G$73,"Pass")</f>
        <v/>
      </c>
      <c r="L6" s="19">
        <f>COUNTIFS(Paths!$A$5:$A$73,A6,Paths!$G$5:$G$73,"No test")</f>
        <v/>
      </c>
      <c r="M6" s="19">
        <f>COUNTIFS(Paths!$A$5:$A$73,A6,Paths!$G$5:$G$73,"Infeasible")</f>
        <v/>
      </c>
    </row>
    <row r="7" ht="15" customHeight="1" s="15">
      <c r="A7" s="19" t="inlineStr">
        <is>
          <t>Edit (POST)</t>
        </is>
      </c>
      <c r="B7" s="20" t="inlineStr">
        <is>
          <t>116-139</t>
        </is>
      </c>
      <c r="C7" s="20" t="n">
        <v>5</v>
      </c>
      <c r="D7" s="19">
        <f>C7+1</f>
        <v/>
      </c>
      <c r="E7" s="20" t="n">
        <v>18</v>
      </c>
      <c r="F7" s="20" t="n">
        <v>14</v>
      </c>
      <c r="G7" s="19">
        <f>E7-F7+2</f>
        <v/>
      </c>
      <c r="H7" s="19">
        <f>IF(D7=G7,"OK","MISMATCH")</f>
        <v/>
      </c>
      <c r="I7" s="19">
        <f>COUNTIF(Paths!$A$5:$A$73,A7)</f>
        <v/>
      </c>
      <c r="J7" s="19">
        <f>IF(I7=D7,"OK","MISMATCH")</f>
        <v/>
      </c>
      <c r="K7" s="19">
        <f>COUNTIFS(Paths!$A$5:$A$73,A7,Paths!$G$5:$G$73,"Pass")</f>
        <v/>
      </c>
      <c r="L7" s="19">
        <f>COUNTIFS(Paths!$A$5:$A$73,A7,Paths!$G$5:$G$73,"No test")</f>
        <v/>
      </c>
      <c r="M7" s="19">
        <f>COUNTIFS(Paths!$A$5:$A$73,A7,Paths!$G$5:$G$73,"Infeasible")</f>
        <v/>
      </c>
    </row>
    <row r="8" ht="15" customHeight="1" s="15">
      <c r="A8" s="19" t="inlineStr">
        <is>
          <t>ManageCandidates (GET)</t>
        </is>
      </c>
      <c r="B8" s="20" t="inlineStr">
        <is>
          <t>143-155</t>
        </is>
      </c>
      <c r="C8" s="20" t="n">
        <v>3</v>
      </c>
      <c r="D8" s="19">
        <f>C8+1</f>
        <v/>
      </c>
      <c r="E8" s="20" t="n">
        <v>12</v>
      </c>
      <c r="F8" s="20" t="n">
        <v>10</v>
      </c>
      <c r="G8" s="19">
        <f>E8-F8+2</f>
        <v/>
      </c>
      <c r="H8" s="19">
        <f>IF(D8=G8,"OK","MISMATCH")</f>
        <v/>
      </c>
      <c r="I8" s="19">
        <f>COUNTIF(Paths!$A$5:$A$73,A8)</f>
        <v/>
      </c>
      <c r="J8" s="19">
        <f>IF(I8=D8,"OK","MISMATCH")</f>
        <v/>
      </c>
      <c r="K8" s="19">
        <f>COUNTIFS(Paths!$A$5:$A$73,A8,Paths!$G$5:$G$73,"Pass")</f>
        <v/>
      </c>
      <c r="L8" s="19">
        <f>COUNTIFS(Paths!$A$5:$A$73,A8,Paths!$G$5:$G$73,"No test")</f>
        <v/>
      </c>
      <c r="M8" s="19">
        <f>COUNTIFS(Paths!$A$5:$A$73,A8,Paths!$G$5:$G$73,"Infeasible")</f>
        <v/>
      </c>
    </row>
    <row r="9" ht="15" customHeight="1" s="15">
      <c r="A9" s="19" t="inlineStr">
        <is>
          <t>AddCandidate (POST)</t>
        </is>
      </c>
      <c r="B9" s="20" t="inlineStr">
        <is>
          <t>160-250</t>
        </is>
      </c>
      <c r="C9" s="20" t="n">
        <v>21</v>
      </c>
      <c r="D9" s="19">
        <f>C9+1</f>
        <v/>
      </c>
      <c r="E9" s="20" t="n">
        <v>63</v>
      </c>
      <c r="F9" s="20" t="n">
        <v>43</v>
      </c>
      <c r="G9" s="19">
        <f>E9-F9+2</f>
        <v/>
      </c>
      <c r="H9" s="19">
        <f>IF(D9=G9,"OK","MISMATCH")</f>
        <v/>
      </c>
      <c r="I9" s="19">
        <f>COUNTIF(Paths!$A$5:$A$73,A9)</f>
        <v/>
      </c>
      <c r="J9" s="19">
        <f>IF(I9=D9,"OK","MISMATCH")</f>
        <v/>
      </c>
      <c r="K9" s="19">
        <f>COUNTIFS(Paths!$A$5:$A$73,A9,Paths!$G$5:$G$73,"Pass")</f>
        <v/>
      </c>
      <c r="L9" s="19">
        <f>COUNTIFS(Paths!$A$5:$A$73,A9,Paths!$G$5:$G$73,"No test")</f>
        <v/>
      </c>
      <c r="M9" s="19">
        <f>COUNTIFS(Paths!$A$5:$A$73,A9,Paths!$G$5:$G$73,"Infeasible")</f>
        <v/>
      </c>
    </row>
    <row r="10" ht="15" customHeight="1" s="15">
      <c r="A10" s="19" t="inlineStr">
        <is>
          <t>DeleteCandidate (POST)</t>
        </is>
      </c>
      <c r="B10" s="20" t="inlineStr">
        <is>
          <t>255-291</t>
        </is>
      </c>
      <c r="C10" s="20" t="n">
        <v>7</v>
      </c>
      <c r="D10" s="19">
        <f>C10+1</f>
        <v/>
      </c>
      <c r="E10" s="20" t="n">
        <v>24</v>
      </c>
      <c r="F10" s="20" t="n">
        <v>18</v>
      </c>
      <c r="G10" s="19">
        <f>E10-F10+2</f>
        <v/>
      </c>
      <c r="H10" s="19">
        <f>IF(D10=G10,"OK","MISMATCH")</f>
        <v/>
      </c>
      <c r="I10" s="19">
        <f>COUNTIF(Paths!$A$5:$A$73,A10)</f>
        <v/>
      </c>
      <c r="J10" s="19">
        <f>IF(I10=D10,"OK","MISMATCH")</f>
        <v/>
      </c>
      <c r="K10" s="19">
        <f>COUNTIFS(Paths!$A$5:$A$73,A10,Paths!$G$5:$G$73,"Pass")</f>
        <v/>
      </c>
      <c r="L10" s="19">
        <f>COUNTIFS(Paths!$A$5:$A$73,A10,Paths!$G$5:$G$73,"No test")</f>
        <v/>
      </c>
      <c r="M10" s="19">
        <f>COUNTIFS(Paths!$A$5:$A$73,A10,Paths!$G$5:$G$73,"Infeasible")</f>
        <v/>
      </c>
    </row>
    <row r="11" ht="15" customHeight="1" s="15">
      <c r="A11" s="19" t="inlineStr">
        <is>
          <t>Results (GET)</t>
        </is>
      </c>
      <c r="B11" s="20" t="inlineStr">
        <is>
          <t>295-311</t>
        </is>
      </c>
      <c r="C11" s="20" t="n">
        <v>3</v>
      </c>
      <c r="D11" s="19">
        <f>C11+1</f>
        <v/>
      </c>
      <c r="E11" s="20" t="n">
        <v>12</v>
      </c>
      <c r="F11" s="20" t="n">
        <v>10</v>
      </c>
      <c r="G11" s="19">
        <f>E11-F11+2</f>
        <v/>
      </c>
      <c r="H11" s="19">
        <f>IF(D11=G11,"OK","MISMATCH")</f>
        <v/>
      </c>
      <c r="I11" s="19">
        <f>COUNTIF(Paths!$A$5:$A$73,A11)</f>
        <v/>
      </c>
      <c r="J11" s="19">
        <f>IF(I11=D11,"OK","MISMATCH")</f>
        <v/>
      </c>
      <c r="K11" s="19">
        <f>COUNTIFS(Paths!$A$5:$A$73,A11,Paths!$G$5:$G$73,"Pass")</f>
        <v/>
      </c>
      <c r="L11" s="19">
        <f>COUNTIFS(Paths!$A$5:$A$73,A11,Paths!$G$5:$G$73,"No test")</f>
        <v/>
      </c>
      <c r="M11" s="19">
        <f>COUNTIFS(Paths!$A$5:$A$73,A11,Paths!$G$5:$G$73,"Infeasible")</f>
        <v/>
      </c>
    </row>
    <row r="12" ht="15" customHeight="1" s="15">
      <c r="A12" s="19" t="inlineStr">
        <is>
          <t>ManageVoters (GET)</t>
        </is>
      </c>
      <c r="B12" s="20" t="inlineStr">
        <is>
          <t>315-335</t>
        </is>
      </c>
      <c r="C12" s="20" t="n">
        <v>3</v>
      </c>
      <c r="D12" s="19">
        <f>C12+1</f>
        <v/>
      </c>
      <c r="E12" s="20" t="n">
        <v>12</v>
      </c>
      <c r="F12" s="20" t="n">
        <v>10</v>
      </c>
      <c r="G12" s="19">
        <f>E12-F12+2</f>
        <v/>
      </c>
      <c r="H12" s="19">
        <f>IF(D12=G12,"OK","MISMATCH")</f>
        <v/>
      </c>
      <c r="I12" s="19">
        <f>COUNTIF(Paths!$A$5:$A$73,A12)</f>
        <v/>
      </c>
      <c r="J12" s="19">
        <f>IF(I12=D12,"OK","MISMATCH")</f>
        <v/>
      </c>
      <c r="K12" s="19">
        <f>COUNTIFS(Paths!$A$5:$A$73,A12,Paths!$G$5:$G$73,"Pass")</f>
        <v/>
      </c>
      <c r="L12" s="19">
        <f>COUNTIFS(Paths!$A$5:$A$73,A12,Paths!$G$5:$G$73,"No test")</f>
        <v/>
      </c>
      <c r="M12" s="19">
        <f>COUNTIFS(Paths!$A$5:$A$73,A12,Paths!$G$5:$G$73,"Infeasible")</f>
        <v/>
      </c>
    </row>
    <row r="13" ht="15" customHeight="1" s="15">
      <c r="A13" s="19" t="inlineStr">
        <is>
          <t>RegisterVoter (POST)</t>
        </is>
      </c>
      <c r="B13" s="20" t="inlineStr">
        <is>
          <t>354-372</t>
        </is>
      </c>
      <c r="C13" s="20" t="n">
        <v>4</v>
      </c>
      <c r="D13" s="19">
        <f>C13+1</f>
        <v/>
      </c>
      <c r="E13" s="20" t="n">
        <v>14</v>
      </c>
      <c r="F13" s="20" t="n">
        <v>11</v>
      </c>
      <c r="G13" s="19">
        <f>E13-F13+2</f>
        <v/>
      </c>
      <c r="H13" s="19">
        <f>IF(D13=G13,"OK","MISMATCH")</f>
        <v/>
      </c>
      <c r="I13" s="19">
        <f>COUNTIF(Paths!$A$5:$A$73,A13)</f>
        <v/>
      </c>
      <c r="J13" s="19">
        <f>IF(I13=D13,"OK","MISMATCH")</f>
        <v/>
      </c>
      <c r="K13" s="19">
        <f>COUNTIFS(Paths!$A$5:$A$73,A13,Paths!$G$5:$G$73,"Pass")</f>
        <v/>
      </c>
      <c r="L13" s="19">
        <f>COUNTIFS(Paths!$A$5:$A$73,A13,Paths!$G$5:$G$73,"No test")</f>
        <v/>
      </c>
      <c r="M13" s="19">
        <f>COUNTIFS(Paths!$A$5:$A$73,A13,Paths!$G$5:$G$73,"Infeasible")</f>
        <v/>
      </c>
    </row>
    <row r="14" ht="15" customHeight="1" s="15">
      <c r="A14" s="19" t="inlineStr">
        <is>
          <t>Delete (POST)</t>
        </is>
      </c>
      <c r="B14" s="20" t="inlineStr">
        <is>
          <t>396-431</t>
        </is>
      </c>
      <c r="C14" s="20" t="n">
        <v>8</v>
      </c>
      <c r="D14" s="19">
        <f>C14+1</f>
        <v/>
      </c>
      <c r="E14" s="20" t="n">
        <v>24</v>
      </c>
      <c r="F14" s="20" t="n">
        <v>17</v>
      </c>
      <c r="G14" s="19">
        <f>E14-F14+2</f>
        <v/>
      </c>
      <c r="H14" s="19">
        <f>IF(D14=G14,"OK","MISMATCH")</f>
        <v/>
      </c>
      <c r="I14" s="19">
        <f>COUNTIF(Paths!$A$5:$A$73,A14)</f>
        <v/>
      </c>
      <c r="J14" s="19">
        <f>IF(I14=D14,"OK","MISMATCH")</f>
        <v/>
      </c>
      <c r="K14" s="19">
        <f>COUNTIFS(Paths!$A$5:$A$73,A14,Paths!$G$5:$G$73,"Pass")</f>
        <v/>
      </c>
      <c r="L14" s="19">
        <f>COUNTIFS(Paths!$A$5:$A$73,A14,Paths!$G$5:$G$73,"No test")</f>
        <v/>
      </c>
      <c r="M14" s="19">
        <f>COUNTIFS(Paths!$A$5:$A$73,A14,Paths!$G$5:$G$73,"Infeasible")</f>
        <v/>
      </c>
    </row>
    <row r="15" ht="15" customHeight="1" s="15">
      <c r="A15" s="21" t="inlineStr">
        <is>
          <t>Total (10 functions)</t>
        </is>
      </c>
      <c r="B15" s="21" t="n"/>
      <c r="C15" s="21">
        <f>SUM(C5:C14)</f>
        <v/>
      </c>
      <c r="D15" s="21">
        <f>SUM(D5:D14)</f>
        <v/>
      </c>
      <c r="E15" s="21">
        <f>SUM(E5:E14)</f>
        <v/>
      </c>
      <c r="F15" s="21">
        <f>SUM(F5:F14)</f>
        <v/>
      </c>
      <c r="G15" s="21">
        <f>SUM(G5:G14)</f>
        <v/>
      </c>
      <c r="H15" s="21">
        <f>IF(COUNTIF(H5:H14,"OK")=10,"OK","CHECK")</f>
        <v/>
      </c>
      <c r="I15" s="21">
        <f>SUM(I5:I14)</f>
        <v/>
      </c>
      <c r="J15" s="21">
        <f>IF(COUNTIF(J5:J14,"OK")=10,"OK","CHECK")</f>
        <v/>
      </c>
      <c r="K15" s="21">
        <f>SUM(K5:K14)</f>
        <v/>
      </c>
      <c r="L15" s="21">
        <f>SUM(L5:L14)</f>
        <v/>
      </c>
      <c r="M15" s="21">
        <f>SUM(M5:M14)</f>
        <v/>
      </c>
    </row>
    <row r="17" ht="15" customHeight="1" s="15">
      <c r="A17" s="22" t="inlineStr">
        <is>
          <t>Notes</t>
        </is>
      </c>
    </row>
    <row r="18" ht="31.5" customHeight="1" s="15">
      <c r="A18" s="23" t="inlineStr">
        <is>
          <t>1. Scope: the 10 functions required by the brief. Edit (GET) and RemoveVoter (POST) are drawn in the diagrams but not counted; Create (GET) and RegisterVoter (GET) have no decisions.</t>
        </is>
      </c>
    </row>
    <row r="19" ht="31.5" customHeight="1" s="15">
      <c r="A19" s="23" t="inlineStr">
        <is>
          <t>2. Updated 2026-10-13: the defect fixes added decisions (length limits, HasStarted, vote checks, the Delete message ternary), so AddCandidate now has V(G) = 22 (was 18), DeleteCandidate 8 (was 7) and Delete 9 (was 7). Total V(G) = 69.</t>
        </is>
      </c>
    </row>
    <row r="20" ht="31.5" customHeight="1" s="15">
      <c r="A20" s="23" t="inlineStr">
        <is>
          <t>3. Decision-node counting: every condition that branches is a node, including each operand of &amp;&amp; / || inside an if, the ?: ternaries and the catch block. The last operand of a &amp;&amp; / || chain that is only assigned to a variable (uri.Scheme == https, !StartsWith("/\")) does not branch, so it is a process node.</t>
        </is>
      </c>
    </row>
    <row r="21" ht="31.5" customHeight="1" s="15">
      <c r="A21" s="23" t="inlineStr">
        <is>
          <t>4. Every listed path is executed by at least one passing xUnit test (run 2026-10-13, nondefect.trx / defect.trx). The paths of each function are linearly independent (edge-vector rank = V(G)). DbUpdateException paths use FailingSaveInterceptor (fault injection).</t>
        </is>
      </c>
    </row>
    <row r="22" ht="31.5" customHeight="1" s="15">
      <c r="A22" s="23" t="inlineStr">
        <is>
          <t>5. Image-URL paths reflect Uri.TryCreate on .NET 8 / Windows: '//host' and '/\host' parse as absolute file: URIs; '/images/..' and 'example.com/..' do not parse. On Linux '/images/..' would take a different path.</t>
        </is>
      </c>
    </row>
  </sheetData>
  <mergeCells count="6">
    <mergeCell ref="A2:L2"/>
    <mergeCell ref="A19:M19"/>
    <mergeCell ref="A22:M22"/>
    <mergeCell ref="A18:M18"/>
    <mergeCell ref="A21:M21"/>
    <mergeCell ref="A20:M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4" min="1" max="1"/>
    <col width="6" customWidth="1" style="14" min="2" max="2"/>
    <col width="48" customWidth="1" style="14" min="3" max="3"/>
    <col width="34" customWidth="1" style="14" min="4" max="4"/>
    <col width="32" customWidth="1" style="14" min="5" max="5"/>
    <col width="60" customWidth="1" style="14" min="6" max="6"/>
    <col width="11" customWidth="1" style="14" min="7" max="7"/>
    <col width="50" customWidth="1" style="14" min="8" max="8"/>
  </cols>
  <sheetData>
    <row r="1" ht="16.15" customHeight="1" s="15">
      <c r="A1" s="16" t="inlineStr">
        <is>
          <t>Basis path testing: 10 functions of ProgramOwnerController (independent paths and test coverage)</t>
        </is>
      </c>
    </row>
    <row r="2" ht="15" customHeight="1" s="15">
      <c r="A2" s="24" t="inlineStr">
        <is>
          <t>Node numbers refer to the 'Node Legend' sheet and the diagrams. Result values come from the xUnit run of 2026-10-13.</t>
        </is>
      </c>
    </row>
    <row r="4" ht="15" customHeight="1" s="15">
      <c r="A4" s="18" t="inlineStr">
        <is>
          <t>Function</t>
        </is>
      </c>
      <c r="B4" s="18" t="inlineStr">
        <is>
          <t>Path</t>
        </is>
      </c>
      <c r="C4" s="18" t="inlineStr">
        <is>
          <t>Node sequence</t>
        </is>
      </c>
      <c r="D4" s="18" t="inlineStr">
        <is>
          <t>Condition outcomes</t>
        </is>
      </c>
      <c r="E4" s="18" t="inlineStr">
        <is>
          <t>Expected result</t>
        </is>
      </c>
      <c r="F4" s="18" t="inlineStr">
        <is>
          <t>xUnit method(s) covering the path</t>
        </is>
      </c>
      <c r="G4" s="18" t="inlineStr">
        <is>
          <t>Result</t>
        </is>
      </c>
      <c r="H4" s="18" t="inlineStr">
        <is>
          <t>Note</t>
        </is>
      </c>
    </row>
    <row r="5" ht="26.85" customHeight="1" s="15">
      <c r="A5" s="25" t="inlineStr">
        <is>
          <t>MyPrograms</t>
        </is>
      </c>
      <c r="B5" s="25" t="inlineStr">
        <is>
          <t>P1</t>
        </is>
      </c>
      <c r="C5" s="25" t="inlineStr">
        <is>
          <t>1 → 2(T) → 3 → End</t>
        </is>
      </c>
      <c r="D5" s="25" t="inlineStr">
        <is>
          <t>userId empty</t>
        </is>
      </c>
      <c r="E5" s="25" t="inlineStr">
        <is>
          <t>Unauthorized</t>
        </is>
      </c>
      <c r="F5" s="25" t="inlineStr">
        <is>
          <t>ProgramOwnerControllerTests.MyPrograms_WithoutUserId_ReturnsUnauthorized</t>
        </is>
      </c>
      <c r="G5" s="26" t="inlineStr">
        <is>
          <t>Pass</t>
        </is>
      </c>
      <c r="H5" s="25" t="n"/>
    </row>
    <row r="6" ht="26.85" customHeight="1" s="15">
      <c r="A6" s="25" t="inlineStr">
        <is>
          <t>MyPrograms</t>
        </is>
      </c>
      <c r="B6" s="25" t="inlineStr">
        <is>
          <t>P2</t>
        </is>
      </c>
      <c r="C6" s="25" t="inlineStr">
        <is>
          <t>1 → 2(F) → 4 → 5 → 6 → End</t>
        </is>
      </c>
      <c r="D6" s="25" t="inlineStr">
        <is>
          <t>userId present</t>
        </is>
      </c>
      <c r="E6" s="25" t="inlineStr">
        <is>
          <t>View with only this owner's programs</t>
        </is>
      </c>
      <c r="F6" s="25" t="inlineStr">
        <is>
          <t>ProgramOwnerControllerTests.MyPrograms_ReturnsOnlyCurrentOwnersPrograms</t>
        </is>
      </c>
      <c r="G6" s="26" t="inlineStr">
        <is>
          <t>Pass</t>
        </is>
      </c>
      <c r="H6" s="25" t="n"/>
    </row>
    <row r="7" ht="26.85" customHeight="1" s="15">
      <c r="A7" s="25" t="inlineStr">
        <is>
          <t>Create (POST)</t>
        </is>
      </c>
      <c r="B7" s="25" t="inlineStr">
        <is>
          <t>P1</t>
        </is>
      </c>
      <c r="C7" s="25" t="inlineStr">
        <is>
          <t>1 → 2(T) → 3 → End</t>
        </is>
      </c>
      <c r="D7" s="25" t="inlineStr">
        <is>
          <t>ModelState invalid</t>
        </is>
      </c>
      <c r="E7" s="25" t="inlineStr">
        <is>
          <t>View(form), ValuesAreUtc = false</t>
        </is>
      </c>
      <c r="F7" s="25" t="inlineStr">
        <is>
          <t>ProgramOwnerControllerTests.CreatePost_InvalidModel_ReturnsLocalInputMode</t>
        </is>
      </c>
      <c r="G7" s="26" t="inlineStr">
        <is>
          <t>Pass</t>
        </is>
      </c>
      <c r="H7" s="25" t="n"/>
    </row>
    <row r="8" ht="26.85" customHeight="1" s="15">
      <c r="A8" s="25" t="inlineStr">
        <is>
          <t>Create (POST)</t>
        </is>
      </c>
      <c r="B8" s="25" t="inlineStr">
        <is>
          <t>P2</t>
        </is>
      </c>
      <c r="C8" s="25" t="inlineStr">
        <is>
          <t>1 → 2(F) → 4 → 5(T) → 6(T) → 7 → 8 → End</t>
        </is>
      </c>
      <c r="D8" s="25" t="inlineStr">
        <is>
          <t>service fails, message given</t>
        </is>
      </c>
      <c r="E8" s="25" t="inlineStr">
        <is>
          <t>View(form) with model error</t>
        </is>
      </c>
      <c r="F8" s="25" t="inlineStr">
        <is>
          <t>ProgramOwnerControllerTests.CreatePost_ServiceFailure_ReturnsValidationError</t>
        </is>
      </c>
      <c r="G8" s="26" t="inlineStr">
        <is>
          <t>Pass</t>
        </is>
      </c>
      <c r="H8" s="25" t="n"/>
    </row>
    <row r="9" ht="26.85" customHeight="1" s="15">
      <c r="A9" s="25" t="inlineStr">
        <is>
          <t>Create (POST)</t>
        </is>
      </c>
      <c r="B9" s="25" t="inlineStr">
        <is>
          <t>P3</t>
        </is>
      </c>
      <c r="C9" s="25" t="inlineStr">
        <is>
          <t>1 → 2(F) → 4 → 5(T) → 6(F) → 8 → End</t>
        </is>
      </c>
      <c r="D9" s="25" t="inlineStr">
        <is>
          <t>service fails, no message</t>
        </is>
      </c>
      <c r="E9" s="25" t="inlineStr">
        <is>
          <t>View(form), no model error</t>
        </is>
      </c>
      <c r="F9" s="25" t="inlineStr">
        <is>
          <t>ProgramOwnerBoundaryTests.CreatePost_ServiceFailureWithoutMessage_ReturnsFormWithoutModelError</t>
        </is>
      </c>
      <c r="G9" s="26" t="inlineStr">
        <is>
          <t>Pass</t>
        </is>
      </c>
      <c r="H9" s="25" t="n"/>
    </row>
    <row r="10" ht="26.85" customHeight="1" s="15">
      <c r="A10" s="25" t="inlineStr">
        <is>
          <t>Create (POST)</t>
        </is>
      </c>
      <c r="B10" s="25" t="inlineStr">
        <is>
          <t>P4</t>
        </is>
      </c>
      <c r="C10" s="25" t="inlineStr">
        <is>
          <t>1 → 2(F) → 4 → 5(F) → 9(F) → 11 → End</t>
        </is>
      </c>
      <c r="D10" s="25" t="inlineStr">
        <is>
          <t>success, IsPublished = false</t>
        </is>
      </c>
      <c r="E10" s="25" t="inlineStr">
        <is>
          <t>Redirect to MyPrograms</t>
        </is>
      </c>
      <c r="F10" s="25" t="inlineStr">
        <is>
          <t>ProgramOwnerControllerTests.CreatePost_PublishedProgram_RedirectsToMyPrograms</t>
        </is>
      </c>
      <c r="G10" s="26" t="inlineStr">
        <is>
          <t>Pass</t>
        </is>
      </c>
      <c r="H10" s="25" t="inlineStr">
        <is>
          <t>Despite its name this test sends an unpublished model</t>
        </is>
      </c>
    </row>
    <row r="11" ht="26.85" customHeight="1" s="15">
      <c r="A11" s="25" t="inlineStr">
        <is>
          <t>Create (POST)</t>
        </is>
      </c>
      <c r="B11" s="25" t="inlineStr">
        <is>
          <t>P5</t>
        </is>
      </c>
      <c r="C11" s="25" t="inlineStr">
        <is>
          <t>1 → 2(F) → 4 → 5(F) → 9(T) → 10 → 11 → End</t>
        </is>
      </c>
      <c r="D11" s="25" t="inlineStr">
        <is>
          <t>success, IsPublished = true</t>
        </is>
      </c>
      <c r="E11" s="25" t="inlineStr">
        <is>
          <t>PublishedLink stored + redirect</t>
        </is>
      </c>
      <c r="F11" s="25" t="inlineStr">
        <is>
          <t>ProgramOwnerBoundaryTests.CreatePost_PublishedSuccess_StoresPublishedLinkAndRedirects</t>
        </is>
      </c>
      <c r="G11" s="26" t="inlineStr">
        <is>
          <t>Pass</t>
        </is>
      </c>
      <c r="H11" s="25" t="n"/>
    </row>
    <row r="12" ht="26.85" customHeight="1" s="15">
      <c r="A12" s="25" t="inlineStr">
        <is>
          <t>Edit (POST)</t>
        </is>
      </c>
      <c r="B12" s="25" t="inlineStr">
        <is>
          <t>P1</t>
        </is>
      </c>
      <c r="C12" s="25" t="inlineStr">
        <is>
          <t>1(T) → 2 → End</t>
        </is>
      </c>
      <c r="D12" s="25" t="inlineStr">
        <is>
          <t>id differs from model.Id</t>
        </is>
      </c>
      <c r="E12" s="25" t="inlineStr">
        <is>
          <t>NotFound</t>
        </is>
      </c>
      <c r="F12" s="25" t="inlineStr">
        <is>
          <t>ProgramOwnerControllerTests.EditPost_IdMismatch_ReturnsNotFound</t>
        </is>
      </c>
      <c r="G12" s="26" t="inlineStr">
        <is>
          <t>Pass</t>
        </is>
      </c>
      <c r="H12" s="25" t="n"/>
    </row>
    <row r="13" ht="26.85" customHeight="1" s="15">
      <c r="A13" s="25" t="inlineStr">
        <is>
          <t>Edit (POST)</t>
        </is>
      </c>
      <c r="B13" s="25" t="inlineStr">
        <is>
          <t>P2</t>
        </is>
      </c>
      <c r="C13" s="25" t="inlineStr">
        <is>
          <t>1(F) → 3 → 4(T) → 5 → End</t>
        </is>
      </c>
      <c r="D13" s="25" t="inlineStr">
        <is>
          <t>ModelState invalid</t>
        </is>
      </c>
      <c r="E13" s="25" t="inlineStr">
        <is>
          <t>View(form)</t>
        </is>
      </c>
      <c r="F13" s="25" t="inlineStr">
        <is>
          <t>ProgramOwnerControllerTests.EditPost_InvalidModel_ReturnsForm</t>
        </is>
      </c>
      <c r="G13" s="26" t="inlineStr">
        <is>
          <t>Pass</t>
        </is>
      </c>
      <c r="H13" s="25" t="n"/>
    </row>
    <row r="14" ht="26.85" customHeight="1" s="15">
      <c r="A14" s="25" t="inlineStr">
        <is>
          <t>Edit (POST)</t>
        </is>
      </c>
      <c r="B14" s="25" t="inlineStr">
        <is>
          <t>P3</t>
        </is>
      </c>
      <c r="C14" s="25" t="inlineStr">
        <is>
          <t>1(F) → 3 → 4(F) → 6 → 7(T) → 8(T) → 9 → 10 → End</t>
        </is>
      </c>
      <c r="D14" s="25" t="inlineStr">
        <is>
          <t>service fails, message given</t>
        </is>
      </c>
      <c r="E14" s="25" t="inlineStr">
        <is>
          <t>View(form) with model error</t>
        </is>
      </c>
      <c r="F14" s="25" t="inlineStr">
        <is>
          <t>ProgramOwnerBoundaryTests.EditPost_ServiceFailureWithMessage_ReturnsFormWithModelError</t>
        </is>
      </c>
      <c r="G14" s="26" t="inlineStr">
        <is>
          <t>Pass</t>
        </is>
      </c>
      <c r="H14" s="25" t="n"/>
    </row>
    <row r="15" ht="26.85" customHeight="1" s="15">
      <c r="A15" s="25" t="inlineStr">
        <is>
          <t>Edit (POST)</t>
        </is>
      </c>
      <c r="B15" s="25" t="inlineStr">
        <is>
          <t>P4</t>
        </is>
      </c>
      <c r="C15" s="25" t="inlineStr">
        <is>
          <t>1(F) → 3 → 4(F) → 6 → 7(T) → 8(F) → 10 → End</t>
        </is>
      </c>
      <c r="D15" s="25" t="inlineStr">
        <is>
          <t>service fails, no message</t>
        </is>
      </c>
      <c r="E15" s="25" t="inlineStr">
        <is>
          <t>View(form), no model error</t>
        </is>
      </c>
      <c r="F15" s="25" t="inlineStr">
        <is>
          <t>ProgramOwnerBoundaryTests.EditPost_ServiceFailureWithoutMessage_ReturnsFormWithoutModelError</t>
        </is>
      </c>
      <c r="G15" s="26" t="inlineStr">
        <is>
          <t>Pass</t>
        </is>
      </c>
      <c r="H15" s="25" t="n"/>
    </row>
    <row r="16" ht="26.85" customHeight="1" s="15">
      <c r="A16" s="25" t="inlineStr">
        <is>
          <t>Edit (POST)</t>
        </is>
      </c>
      <c r="B16" s="25" t="inlineStr">
        <is>
          <t>P5</t>
        </is>
      </c>
      <c r="C16" s="25" t="inlineStr">
        <is>
          <t>1(F) → 3 → 4(F) → 6 → 7(F) → 11(F) → 13 → End</t>
        </is>
      </c>
      <c r="D16" s="25" t="inlineStr">
        <is>
          <t>success, IsPublished = false</t>
        </is>
      </c>
      <c r="E16" s="25" t="inlineStr">
        <is>
          <t>Redirect to MyPrograms</t>
        </is>
      </c>
      <c r="F16" s="25" t="inlineStr">
        <is>
          <t>ProgramOwnerControllerTests.EditPost_ServiceSuccess_Redirects</t>
        </is>
      </c>
      <c r="G16" s="26" t="inlineStr">
        <is>
          <t>Pass</t>
        </is>
      </c>
      <c r="H16" s="25" t="n"/>
    </row>
    <row r="17" ht="26.85" customHeight="1" s="15">
      <c r="A17" s="25" t="inlineStr">
        <is>
          <t>Edit (POST)</t>
        </is>
      </c>
      <c r="B17" s="25" t="inlineStr">
        <is>
          <t>P6</t>
        </is>
      </c>
      <c r="C17" s="25" t="inlineStr">
        <is>
          <t>1(F) → 3 → 4(F) → 6 → 7(F) → 11(T) → 12 → 13 → End</t>
        </is>
      </c>
      <c r="D17" s="25" t="inlineStr">
        <is>
          <t>success, IsPublished = true</t>
        </is>
      </c>
      <c r="E17" s="25" t="inlineStr">
        <is>
          <t>PublishedLink stored + redirect</t>
        </is>
      </c>
      <c r="F17" s="25" t="inlineStr">
        <is>
          <t>ProgramOwnerBoundaryTests.EditPost_PublishedSuccess_StoresPublishedLinkAndRedirects</t>
        </is>
      </c>
      <c r="G17" s="26" t="inlineStr">
        <is>
          <t>Pass</t>
        </is>
      </c>
      <c r="H17" s="25" t="n"/>
    </row>
    <row r="18" ht="26.85" customHeight="1" s="15">
      <c r="A18" s="25" t="inlineStr">
        <is>
          <t>ManageCandidates (GET)</t>
        </is>
      </c>
      <c r="B18" s="25" t="inlineStr">
        <is>
          <t>P1</t>
        </is>
      </c>
      <c r="C18" s="25" t="inlineStr">
        <is>
          <t>1 → 2(T) → 3 → End</t>
        </is>
      </c>
      <c r="D18" s="25" t="inlineStr">
        <is>
          <t>program not found</t>
        </is>
      </c>
      <c r="E18" s="25" t="inlineStr">
        <is>
          <t>NotFound</t>
        </is>
      </c>
      <c r="F18" s="25" t="inlineStr">
        <is>
          <t>ProgramOwnerControllerTests.ManageCandidates_MissingProgram_ReturnsNotFound</t>
        </is>
      </c>
      <c r="G18" s="26" t="inlineStr">
        <is>
          <t>Pass</t>
        </is>
      </c>
      <c r="H18" s="25" t="n"/>
    </row>
    <row r="19" ht="26.85" customHeight="1" s="15">
      <c r="A19" s="25" t="inlineStr">
        <is>
          <t>ManageCandidates (GET)</t>
        </is>
      </c>
      <c r="B19" s="25" t="inlineStr">
        <is>
          <t>P2</t>
        </is>
      </c>
      <c r="C19" s="25" t="inlineStr">
        <is>
          <t>1 → 2(F) → 4(T) → 5(T) → 6 → End</t>
        </is>
      </c>
      <c r="D19" s="25" t="inlineStr">
        <is>
          <t>not owner, not admin</t>
        </is>
      </c>
      <c r="E19" s="25" t="inlineStr">
        <is>
          <t>Forbid</t>
        </is>
      </c>
      <c r="F19" s="25" t="inlineStr">
        <is>
          <t>ProgramOwnerControllerTests.ManageCandidates_EnforcesOwnership(admin: False, allowed: False)</t>
        </is>
      </c>
      <c r="G19" s="26" t="inlineStr">
        <is>
          <t>Pass</t>
        </is>
      </c>
      <c r="H19" s="25" t="n"/>
    </row>
    <row r="20" ht="26.85" customHeight="1" s="15">
      <c r="A20" s="25" t="inlineStr">
        <is>
          <t>ManageCandidates (GET)</t>
        </is>
      </c>
      <c r="B20" s="25" t="inlineStr">
        <is>
          <t>P3</t>
        </is>
      </c>
      <c r="C20" s="25" t="inlineStr">
        <is>
          <t>1 → 2(F) → 4(T) → 5(F) → 7 → 8 → 9 → End</t>
        </is>
      </c>
      <c r="D20" s="25" t="inlineStr">
        <is>
          <t>not owner, is admin</t>
        </is>
      </c>
      <c r="E20" s="25" t="inlineStr">
        <is>
          <t>View with candidates</t>
        </is>
      </c>
      <c r="F20" s="25" t="inlineStr">
        <is>
          <t>ProgramOwnerControllerTests.ManageCandidates_EnforcesOwnership(admin: True, allowed: True)</t>
        </is>
      </c>
      <c r="G20" s="26" t="inlineStr">
        <is>
          <t>Pass</t>
        </is>
      </c>
      <c r="H20" s="25" t="n"/>
    </row>
    <row r="21" ht="26.85" customHeight="1" s="15">
      <c r="A21" s="25" t="inlineStr">
        <is>
          <t>ManageCandidates (GET)</t>
        </is>
      </c>
      <c r="B21" s="25" t="inlineStr">
        <is>
          <t>P4</t>
        </is>
      </c>
      <c r="C21" s="25" t="inlineStr">
        <is>
          <t>1 → 2(F) → 4(F) → 7 → 8 → 9 → End</t>
        </is>
      </c>
      <c r="D21" s="25" t="inlineStr">
        <is>
          <t>current user is owner</t>
        </is>
      </c>
      <c r="E21" s="25" t="inlineStr">
        <is>
          <t>View with candidates</t>
        </is>
      </c>
      <c r="F21" s="25" t="inlineStr">
        <is>
          <t>ProgramOwnerBoundaryTests.ManageCandidates_CurrentOwner_ReturnsCandidateView</t>
        </is>
      </c>
      <c r="G21" s="26" t="inlineStr">
        <is>
          <t>Pass</t>
        </is>
      </c>
      <c r="H21" s="25" t="n"/>
    </row>
    <row r="22" ht="26.85" customHeight="1" s="15">
      <c r="A22" s="25" t="inlineStr">
        <is>
          <t>AddCandidate (POST)</t>
        </is>
      </c>
      <c r="B22" s="25" t="inlineStr">
        <is>
          <t>P1</t>
        </is>
      </c>
      <c r="C22" s="25" t="inlineStr">
        <is>
          <t>1(T) → 3 → End</t>
        </is>
      </c>
      <c r="D22" s="25" t="inlineStr">
        <is>
          <t>name blank</t>
        </is>
      </c>
      <c r="E22" s="25" t="inlineStr">
        <is>
          <t>Redirect with error</t>
        </is>
      </c>
      <c r="F22" s="25" t="inlineStr">
        <is>
          <t>ProgramOwnerControllerTests.AddCandidate_RequiredFieldsRedirect(name: null, code: "A")
ProgramOwnerControllerTests.AddCandidate_RequiredFieldsRedirect(name: "", code: "A")
ProgramOwnerControllerTests.AddCandidate_RequiredFieldsRedirect(name: " ", code: "A")</t>
        </is>
      </c>
      <c r="G22" s="26" t="inlineStr">
        <is>
          <t>Pass</t>
        </is>
      </c>
      <c r="H22" s="25" t="n"/>
    </row>
    <row r="23" ht="26.85" customHeight="1" s="15">
      <c r="A23" s="25" t="inlineStr">
        <is>
          <t>AddCandidate (POST)</t>
        </is>
      </c>
      <c r="B23" s="25" t="inlineStr">
        <is>
          <t>P2</t>
        </is>
      </c>
      <c r="C23" s="25" t="inlineStr">
        <is>
          <t>1(F) → 2(T) → 3 → End</t>
        </is>
      </c>
      <c r="D23" s="25" t="inlineStr">
        <is>
          <t>name given, code blank</t>
        </is>
      </c>
      <c r="E23" s="25" t="inlineStr">
        <is>
          <t>Redirect with error</t>
        </is>
      </c>
      <c r="F23" s="25" t="inlineStr">
        <is>
          <t>ProgramOwnerControllerTests.AddCandidate_RequiredFieldsRedirect(name: "Candidate", code: null)
ProgramOwnerControllerTests.AddCandidate_RequiredFieldsRedirect(name: "Candidate", code: "")
ProgramOwnerControllerTests.AddCandidate_RequiredFieldsRedirect(name: "Candidate", code: " ")</t>
        </is>
      </c>
      <c r="G23" s="26" t="inlineStr">
        <is>
          <t>Pass</t>
        </is>
      </c>
      <c r="H23" s="25" t="n"/>
    </row>
    <row r="24" ht="26.85" customHeight="1" s="15">
      <c r="A24" s="25" t="inlineStr">
        <is>
          <t>AddCandidate (POST)</t>
        </is>
      </c>
      <c r="B24" s="25" t="inlineStr">
        <is>
          <t>P3</t>
        </is>
      </c>
      <c r="C24" s="25" t="inlineStr">
        <is>
          <t>1(F) → 2(F) → 4 → 5(T) → 7 → End</t>
        </is>
      </c>
      <c r="D24" s="25" t="inlineStr">
        <is>
          <t>name shorter than 2</t>
        </is>
      </c>
      <c r="E24" s="25" t="inlineStr">
        <is>
          <t>Redirect with error</t>
        </is>
      </c>
      <c r="F24" s="25" t="inlineStr">
        <is>
          <t>ProgramOwnerDefectTests.D07_AddCandidate_SingleCharacterName_IsRejected</t>
        </is>
      </c>
      <c r="G24" s="26" t="inlineStr">
        <is>
          <t>Pass</t>
        </is>
      </c>
      <c r="H24" s="25" t="inlineStr">
        <is>
          <t>Defect D07 (regression test)</t>
        </is>
      </c>
    </row>
    <row r="25" ht="26.85" customHeight="1" s="15">
      <c r="A25" s="25" t="inlineStr">
        <is>
          <t>AddCandidate (POST)</t>
        </is>
      </c>
      <c r="B25" s="25" t="inlineStr">
        <is>
          <t>P4</t>
        </is>
      </c>
      <c r="C25" s="25" t="inlineStr">
        <is>
          <t>1(F) → 2(F) → 4 → 5(F) → 6(T) → 7 → End</t>
        </is>
      </c>
      <c r="D25" s="25" t="inlineStr">
        <is>
          <t>name longer than 150</t>
        </is>
      </c>
      <c r="E25" s="25" t="inlineStr">
        <is>
          <t>Redirect with error</t>
        </is>
      </c>
      <c r="F25" s="25" t="inlineStr">
        <is>
          <t>ProgramOwnerDefectTests.D08_AddCandidate_FieldOverMaxLength_IsRejectedWithValidationMessage(field: "name")</t>
        </is>
      </c>
      <c r="G25" s="26" t="inlineStr">
        <is>
          <t>Pass</t>
        </is>
      </c>
      <c r="H25" s="25" t="inlineStr">
        <is>
          <t>Defect D08 (regression test)</t>
        </is>
      </c>
    </row>
    <row r="26" ht="26.85" customHeight="1" s="15">
      <c r="A26" s="25" t="inlineStr">
        <is>
          <t>AddCandidate (POST)</t>
        </is>
      </c>
      <c r="B26" s="25" t="inlineStr">
        <is>
          <t>P5</t>
        </is>
      </c>
      <c r="C26" s="25" t="inlineStr">
        <is>
          <t>1(F) → 2(F) → 4 → 5(F) → 6(F) → 8 → 9(T) → 10 → 11(T) → 14 → End</t>
        </is>
      </c>
      <c r="D26" s="25" t="inlineStr">
        <is>
          <t>code longer than 50</t>
        </is>
      </c>
      <c r="E26" s="25" t="inlineStr">
        <is>
          <t>Redirect with error</t>
        </is>
      </c>
      <c r="F26" s="25" t="inlineStr">
        <is>
          <t>ProgramOwnerDefectTests.D08_AddCandidate_FieldOverMaxLength_IsRejectedWithValidationMessage(field: "code")</t>
        </is>
      </c>
      <c r="G26" s="26" t="inlineStr">
        <is>
          <t>Pass</t>
        </is>
      </c>
      <c r="H26" s="25" t="inlineStr">
        <is>
          <t>Defect D08 (regression test)</t>
        </is>
      </c>
    </row>
    <row r="27" ht="26.85" customHeight="1" s="15">
      <c r="A27" s="25" t="inlineStr">
        <is>
          <t>AddCandidate (POST)</t>
        </is>
      </c>
      <c r="B27" s="25" t="inlineStr">
        <is>
          <t>P6</t>
        </is>
      </c>
      <c r="C27" s="25" t="inlineStr">
        <is>
          <t>1(F) → 2(F) → 4 → 5(F) → 6(F) → 8 → 9(F) → 10 → 11(F) → 12(T) → 14 → End</t>
        </is>
      </c>
      <c r="D27" s="25" t="inlineStr">
        <is>
          <t>description longer than 500</t>
        </is>
      </c>
      <c r="E27" s="25" t="inlineStr">
        <is>
          <t>Redirect with error</t>
        </is>
      </c>
      <c r="F27" s="25" t="inlineStr">
        <is>
          <t>ProgramOwnerDefectTests.D08_AddCandidate_FieldOverMaxLength_IsRejectedWithValidationMessage(field: "description")</t>
        </is>
      </c>
      <c r="G27" s="26" t="inlineStr">
        <is>
          <t>Pass</t>
        </is>
      </c>
      <c r="H27" s="25" t="inlineStr">
        <is>
          <t>Defect D08 (regression test)</t>
        </is>
      </c>
    </row>
    <row r="28" ht="26.85" customHeight="1" s="15">
      <c r="A28" s="25" t="inlineStr">
        <is>
          <t>AddCandidate (POST)</t>
        </is>
      </c>
      <c r="B28" s="25" t="inlineStr">
        <is>
          <t>P7</t>
        </is>
      </c>
      <c r="C28" s="25" t="inlineStr">
        <is>
          <t>1(F) → 2(F) → 4 → 5(F) → 6(F) → 8 → 9(T) → 10 → 11(F) → 12(F) → 13(T) → 14 → End</t>
        </is>
      </c>
      <c r="D28" s="25" t="inlineStr">
        <is>
          <t>image URL longer than 500</t>
        </is>
      </c>
      <c r="E28" s="25" t="inlineStr">
        <is>
          <t>Redirect with error</t>
        </is>
      </c>
      <c r="F28" s="25" t="inlineStr">
        <is>
          <t>ProgramOwnerDefectTests.D08_AddCandidate_FieldOverMaxLength_IsRejectedWithValidationMessage(field: "imageUrl")</t>
        </is>
      </c>
      <c r="G28" s="26" t="inlineStr">
        <is>
          <t>Pass</t>
        </is>
      </c>
      <c r="H28" s="25" t="inlineStr">
        <is>
          <t>Defect D08 (regression test)</t>
        </is>
      </c>
    </row>
    <row r="29" ht="26.85" customHeight="1" s="15">
      <c r="A29" s="25" t="inlineStr">
        <is>
          <t>AddCandidate (POST)</t>
        </is>
      </c>
      <c r="B29" s="25" t="inlineStr">
        <is>
          <t>P8</t>
        </is>
      </c>
      <c r="C29" s="25" t="inlineStr">
        <is>
          <t>1(F) → 2(F) → 4 → 5(F) → 6(F) → 8 → 9(T) → 10 → 11(F) → 12(F) → 13(F) → 15 → 16(T) → 17 → End</t>
        </is>
      </c>
      <c r="D29" s="25" t="inlineStr">
        <is>
          <t>program not found</t>
        </is>
      </c>
      <c r="E29" s="25" t="inlineStr">
        <is>
          <t>NotFound</t>
        </is>
      </c>
      <c r="F29" s="25" t="inlineStr">
        <is>
          <t>ProgramOwnerControllerTests.AddCandidate_MissingProgram_ReturnsNotFound</t>
        </is>
      </c>
      <c r="G29" s="26" t="inlineStr">
        <is>
          <t>Pass</t>
        </is>
      </c>
      <c r="H29" s="25" t="n"/>
    </row>
    <row r="30" ht="26.85" customHeight="1" s="15">
      <c r="A30" s="25" t="inlineStr">
        <is>
          <t>AddCandidate (POST)</t>
        </is>
      </c>
      <c r="B30" s="25" t="inlineStr">
        <is>
          <t>P9</t>
        </is>
      </c>
      <c r="C30" s="25" t="inlineStr">
        <is>
          <t>1(F) → 2(F) → 4 → 5(F) → 6(F) → 8 → 9(T) → 10 → 11(F) → 12(F) → 13(F) → 15 → 16(F) → 18(T) → 19(T) → 20 → End</t>
        </is>
      </c>
      <c r="D30" s="25" t="inlineStr">
        <is>
          <t>not owner, not admin</t>
        </is>
      </c>
      <c r="E30" s="25" t="inlineStr">
        <is>
          <t>Forbid</t>
        </is>
      </c>
      <c r="F30" s="25" t="inlineStr">
        <is>
          <t>ProgramOwnerControllerTests.AddCandidate_OtherOwner_ReturnsForbid</t>
        </is>
      </c>
      <c r="G30" s="26" t="inlineStr">
        <is>
          <t>Pass</t>
        </is>
      </c>
      <c r="H30" s="25" t="n"/>
    </row>
    <row r="31" ht="26.85" customHeight="1" s="15">
      <c r="A31" s="25" t="inlineStr">
        <is>
          <t>AddCandidate (POST)</t>
        </is>
      </c>
      <c r="B31" s="25" t="inlineStr">
        <is>
          <t>P10</t>
        </is>
      </c>
      <c r="C31" s="25" t="inlineStr">
        <is>
          <t>1(F) → 2(F) → 4 → 5(F) → 6(F) → 8 → 9(T) → 10 → 11(F) → 12(F) → 13(F) → 15 → 16(F) → 18(T) → 19(F) → 21(F) → 23 → 24(F) → 26 → 27(F) → 39 → 40(F) → 42 → End</t>
        </is>
      </c>
      <c r="D31" s="25" t="inlineStr">
        <is>
          <t>not owner, is admin</t>
        </is>
      </c>
      <c r="E31" s="25" t="inlineStr">
        <is>
          <t>Candidate saved</t>
        </is>
      </c>
      <c r="F31" s="25" t="inlineStr">
        <is>
          <t>ProgramOwnerBoundaryTests.AddCandidate_AdminOnAnotherOwnersProgram_SavesCandidate</t>
        </is>
      </c>
      <c r="G31" s="26" t="inlineStr">
        <is>
          <t>Pass</t>
        </is>
      </c>
      <c r="H31" s="25" t="n"/>
    </row>
    <row r="32" ht="26.85" customHeight="1" s="15">
      <c r="A32" s="25" t="inlineStr">
        <is>
          <t>AddCandidate (POST)</t>
        </is>
      </c>
      <c r="B32" s="25" t="inlineStr">
        <is>
          <t>P11</t>
        </is>
      </c>
      <c r="C32" s="25" t="inlineStr">
        <is>
          <t>1(F) → 2(F) → 4 → 5(F) → 6(F) → 8 → 9(T) → 10 → 11(F) → 12(F) → 13(F) → 15 → 16(F) → 18(F) → 21(T) → 22 → End</t>
        </is>
      </c>
      <c r="D32" s="25" t="inlineStr">
        <is>
          <t>program has started (active or ended)</t>
        </is>
      </c>
      <c r="E32" s="25" t="inlineStr">
        <is>
          <t>Redirect with error</t>
        </is>
      </c>
      <c r="F32" s="25" t="inlineStr">
        <is>
          <t>ProgramOwnerDefectTests.D02_AddCandidate_WhileProgramIsActive_IsRejected
ProgramOwnerDefectTests.D02_AddCandidate_AfterProgramEnded_IsRejected</t>
        </is>
      </c>
      <c r="G32" s="26" t="inlineStr">
        <is>
          <t>Pass</t>
        </is>
      </c>
      <c r="H32" s="25" t="inlineStr">
        <is>
          <t>Defect D02 (regression test)</t>
        </is>
      </c>
    </row>
    <row r="33" ht="26.85" customHeight="1" s="15">
      <c r="A33" s="25" t="inlineStr">
        <is>
          <t>AddCandidate (POST)</t>
        </is>
      </c>
      <c r="B33" s="25" t="inlineStr">
        <is>
          <t>P12</t>
        </is>
      </c>
      <c r="C33" s="25" t="inlineStr">
        <is>
          <t>1(F) → 2(F) → 4 → 5(F) → 6(F) → 8 → 9(T) → 10 → 11(F) → 12(F) → 13(F) → 15 → 16(F) → 18(F) → 21(F) → 23 → 24(T) → 25 → End</t>
        </is>
      </c>
      <c r="D33" s="25" t="inlineStr">
        <is>
          <t>code already used in program (any case)</t>
        </is>
      </c>
      <c r="E33" s="25" t="inlineStr">
        <is>
          <t>Redirect with error</t>
        </is>
      </c>
      <c r="F33" s="25" t="inlineStr">
        <is>
          <t>ProgramOwnerControllerTests.AddCandidate_DuplicateCode_RedirectsWithoutAdding
ProgramOwnerDefectTests.D10_AddCandidate_CodeThatDiffersOnlyByCase_IsRejectedAsDuplicate</t>
        </is>
      </c>
      <c r="G33" s="26" t="inlineStr">
        <is>
          <t>Pass</t>
        </is>
      </c>
      <c r="H33" s="25" t="n"/>
    </row>
    <row r="34" ht="26.85" customHeight="1" s="15">
      <c r="A34" s="25" t="inlineStr">
        <is>
          <t>AddCandidate (POST)</t>
        </is>
      </c>
      <c r="B34" s="25" t="inlineStr">
        <is>
          <t>P13</t>
        </is>
      </c>
      <c r="C34" s="25" t="inlineStr">
        <is>
          <t>1(F) → 2(F) → 4 → 5(F) → 6(F) → 8 → 9(T) → 10 → 11(F) → 12(F) → 13(F) → 15 → 16(F) → 18(F) → 21(F) → 23 → 24(F) → 26 → 27(F) → 39 → 40(F) → 42 → End</t>
        </is>
      </c>
      <c r="D34" s="25" t="inlineStr">
        <is>
          <t>owner; no image; description blank</t>
        </is>
      </c>
      <c r="E34" s="25" t="inlineStr">
        <is>
          <t>Candidate saved with nulls, success message</t>
        </is>
      </c>
      <c r="F34" s="25" t="inlineStr">
        <is>
          <t>ProgramOwnerBoundaryTests.AddCandidate_NameAndCodeAtUpperAndLowerValidBounds_AreSaved(nameLength: 2, codeLength: 1)
ProgramOwnerBoundaryTests.AddCandidate_NameAndCodeAtUpperAndLowerValidBounds_AreSaved(nameLength: 150, codeLength: 50)</t>
        </is>
      </c>
      <c r="G34" s="26" t="inlineStr">
        <is>
          <t>Pass</t>
        </is>
      </c>
      <c r="H34" s="25" t="inlineStr">
        <is>
          <t>Baseline path</t>
        </is>
      </c>
    </row>
    <row r="35" ht="26.85" customHeight="1" s="15">
      <c r="A35" s="25" t="inlineStr">
        <is>
          <t>AddCandidate (POST)</t>
        </is>
      </c>
      <c r="B35" s="25" t="inlineStr">
        <is>
          <t>P14</t>
        </is>
      </c>
      <c r="C35" s="25" t="inlineStr">
        <is>
          <t>1(F) → 2(F) → 4 → 5(F) → 6(F) → 8 → 9(F) → 10 → 11(F) → 12(F) → 13(F) → 15 → 16(F) → 18(F) → 21(F) → 23 → 24(F) → 26 → 27(F) → 39 → 40(F) → 42 → End</t>
        </is>
      </c>
      <c r="D35" s="25" t="inlineStr">
        <is>
          <t>description given, no image</t>
        </is>
      </c>
      <c r="E35" s="25" t="inlineStr">
        <is>
          <t>Candidate saved, description trimmed</t>
        </is>
      </c>
      <c r="F35" s="25" t="inlineStr">
        <is>
          <t>ProgramOwnerBoundaryTests.AddCandidate_DescriptionWithoutImage_IsSavedTrimmed</t>
        </is>
      </c>
      <c r="G35" s="26" t="inlineStr">
        <is>
          <t>Pass</t>
        </is>
      </c>
      <c r="H35" s="25" t="n"/>
    </row>
    <row r="36" ht="26.85" customHeight="1" s="15">
      <c r="A36" s="25" t="inlineStr">
        <is>
          <t>AddCandidate (POST)</t>
        </is>
      </c>
      <c r="B36" s="25" t="inlineStr">
        <is>
          <t>P15</t>
        </is>
      </c>
      <c r="C36" s="25" t="inlineStr">
        <is>
          <t>1(F) → 2(F) → 4 → 5(F) → 6(F) → 8 → 9(T) → 10 → 11(F) → 12(F) → 13(F) → 15 → 16(F) → 18(F) → 21(F) → 23 → 24(F) → 26 → 27(T) → 28 → 29(T) → 30(T) → 32(F) → 35(F) → 38 → 39 → 40(F) → 42 → End</t>
        </is>
      </c>
      <c r="D36" s="25" t="inlineStr">
        <is>
          <t>image URL is absolute http</t>
        </is>
      </c>
      <c r="E36" s="25" t="inlineStr">
        <is>
          <t>Candidate saved</t>
        </is>
      </c>
      <c r="F36" s="25" t="inlineStr">
        <is>
          <t>ProgramOwnerControllerTests.AddCandidate_ValidImageUrl_Saves(imageUrl: "http://example.com/image.png")</t>
        </is>
      </c>
      <c r="G36" s="26" t="inlineStr">
        <is>
          <t>Pass</t>
        </is>
      </c>
      <c r="H36" s="25" t="n"/>
    </row>
    <row r="37" ht="26.85" customHeight="1" s="15">
      <c r="A37" s="25" t="inlineStr">
        <is>
          <t>AddCandidate (POST)</t>
        </is>
      </c>
      <c r="B37" s="25" t="inlineStr">
        <is>
          <t>P16</t>
        </is>
      </c>
      <c r="C37" s="25" t="inlineStr">
        <is>
          <t>1(F) → 2(F) → 4 → 5(F) → 6(F) → 8 → 9(T) → 10 → 11(F) → 12(F) → 13(F) → 15 → 16(F) → 18(F) → 21(F) → 23 → 24(F) → 26 → 27(T) → 28 → 29(T) → 30(F) → 31 → 32(F) → 35(F) → 38 → 39 → 40(F) → 42 → End</t>
        </is>
      </c>
      <c r="D37" s="25" t="inlineStr">
        <is>
          <t>image URL is absolute https</t>
        </is>
      </c>
      <c r="E37" s="25" t="inlineStr">
        <is>
          <t>Candidate saved</t>
        </is>
      </c>
      <c r="F37" s="25" t="inlineStr">
        <is>
          <t>ProgramOwnerControllerTests.AddCandidate_ValidImageUrl_Saves(imageUrl: "https://example.com/image.png")
ProgramOwnerBoundaryTests.AddCandidate_DescriptionAndImageUrlAtMaximumLength_AreSaved</t>
        </is>
      </c>
      <c r="G37" s="26" t="inlineStr">
        <is>
          <t>Pass</t>
        </is>
      </c>
      <c r="H37" s="25" t="n"/>
    </row>
    <row r="38" ht="26.85" customHeight="1" s="15">
      <c r="A38" s="25" t="inlineStr">
        <is>
          <t>AddCandidate (POST)</t>
        </is>
      </c>
      <c r="B38" s="25" t="inlineStr">
        <is>
          <t>P17</t>
        </is>
      </c>
      <c r="C38" s="25" t="inlineStr">
        <is>
          <t>1(F) → 2(F) → 4 → 5(F) → 6(F) → 8 → 9(T) → 10 → 11(F) → 12(F) → 13(F) → 15 → 16(F) → 18(F) → 21(F) → 23 → 24(F) → 26 → 27(T) → 28 → 29(F) → 32(T) → 33(T) → 34 → 35(T) → 36(F) → 38 → 39 → 40(F) → 42 → End</t>
        </is>
      </c>
      <c r="D38" s="25" t="inlineStr">
        <is>
          <t>root-relative URL (/images/..; not absolute on Windows)</t>
        </is>
      </c>
      <c r="E38" s="25" t="inlineStr">
        <is>
          <t>Candidate saved</t>
        </is>
      </c>
      <c r="F38" s="25" t="inlineStr">
        <is>
          <t>ProgramOwnerControllerTests.AddCandidate_ValidImageUrl_Saves(imageUrl: "/images/candidate.png")
ProgramOwnerControllerTests.AddCandidate_ValidImageUrl_Saves(imageUrl: "  /images/candidate.png  ")</t>
        </is>
      </c>
      <c r="G38" s="26" t="inlineStr">
        <is>
          <t>Pass</t>
        </is>
      </c>
      <c r="H38" s="25" t="n"/>
    </row>
    <row r="39" ht="26.85" customHeight="1" s="15">
      <c r="A39" s="25" t="inlineStr">
        <is>
          <t>AddCandidate (POST)</t>
        </is>
      </c>
      <c r="B39" s="25" t="inlineStr">
        <is>
          <t>P18</t>
        </is>
      </c>
      <c r="C39" s="25" t="inlineStr">
        <is>
          <t>1(F) → 2(F) → 4 → 5(F) → 6(F) → 8 → 9(T) → 10 → 11(F) → 12(F) → 13(F) → 15 → 16(F) → 18(F) → 21(F) → 23 → 24(F) → 26 → 27(T) → 28 → 29(T) → 30(F) → 31 → 32(F) → 35(T) → 36(T) → 37 → End</t>
        </is>
      </c>
      <c r="D39" s="25" t="inlineStr">
        <is>
          <t>absolute URL, other scheme (javascript:, ftp:, data:)</t>
        </is>
      </c>
      <c r="E39" s="25" t="inlineStr">
        <is>
          <t>Redirect with error</t>
        </is>
      </c>
      <c r="F39" s="25" t="inlineStr">
        <is>
          <t>ProgramOwnerControllerTests.AddCandidate_InvalidImageUrl_Redirects(imageUrl: "javascript:alert(1)")
ProgramOwnerControllerTests.AddCandidate_InvalidImageUrl_Redirects(imageUrl: "ftp://example.com/image.png")
ProgramOwnerControllerTests.AddCandidate_InvalidImageUrl_Redirects(imageUrl: "data:image/png;base64,abc")</t>
        </is>
      </c>
      <c r="G39" s="26" t="inlineStr">
        <is>
          <t>Pass</t>
        </is>
      </c>
      <c r="H39" s="25" t="n"/>
    </row>
    <row r="40" ht="26.85" customHeight="1" s="15">
      <c r="A40" s="25" t="inlineStr">
        <is>
          <t>AddCandidate (POST)</t>
        </is>
      </c>
      <c r="B40" s="25" t="inlineStr">
        <is>
          <t>P19</t>
        </is>
      </c>
      <c r="C40" s="25" t="inlineStr">
        <is>
          <t>1(F) → 2(F) → 4 → 5(F) → 6(F) → 8 → 9(T) → 10 → 11(F) → 12(F) → 13(F) → 15 → 16(F) → 18(F) → 21(F) → 23 → 24(F) → 26 → 27(T) → 28 → 29(F) → 32(F) → 35(T) → 36(T) → 37 → End</t>
        </is>
      </c>
      <c r="D40" s="25" t="inlineStr">
        <is>
          <t>not absolute, no leading '/' (example.com/..)</t>
        </is>
      </c>
      <c r="E40" s="25" t="inlineStr">
        <is>
          <t>Redirect with error</t>
        </is>
      </c>
      <c r="F40" s="25" t="inlineStr">
        <is>
          <t>ProgramOwnerControllerTests.AddCandidate_InvalidImageUrl_Redirects(imageUrl: "example.com/image.png")</t>
        </is>
      </c>
      <c r="G40" s="26" t="inlineStr">
        <is>
          <t>Pass</t>
        </is>
      </c>
      <c r="H40" s="25" t="n"/>
    </row>
    <row r="41" ht="26.85" customHeight="1" s="15">
      <c r="A41" s="25" t="inlineStr">
        <is>
          <t>AddCandidate (POST)</t>
        </is>
      </c>
      <c r="B41" s="25" t="inlineStr">
        <is>
          <t>P20</t>
        </is>
      </c>
      <c r="C41" s="25" t="inlineStr">
        <is>
          <t>1(F) → 2(F) → 4 → 5(F) → 6(F) → 8 → 9(T) → 10 → 11(F) → 12(F) → 13(F) → 15 → 16(F) → 18(F) → 21(F) → 23 → 24(F) → 26 → 27(T) → 28 → 29(T) → 30(F) → 31 → 32(T) → 33(F) → 35(T) → 36(T) → 37 → End</t>
        </is>
      </c>
      <c r="D41" s="25" t="inlineStr">
        <is>
          <t>protocol-relative '//host/..' (parsed as file: URI)</t>
        </is>
      </c>
      <c r="E41" s="25" t="inlineStr">
        <is>
          <t>Redirect with error</t>
        </is>
      </c>
      <c r="F41" s="25" t="inlineStr">
        <is>
          <t>ProgramOwnerDefectTests.D09_AddCandidate_ProtocolRelativeImageUrl_IsRejected
ProgramOwnerBoundaryTests.AddCandidate_SlashBackslashOrDoubleSlashImageUrl_IsRejected(imageUrl: "//evil.example/a.png")</t>
        </is>
      </c>
      <c r="G41" s="26" t="inlineStr">
        <is>
          <t>Pass</t>
        </is>
      </c>
      <c r="H41" s="25" t="inlineStr">
        <is>
          <t>Defect D09 (regression test)</t>
        </is>
      </c>
    </row>
    <row r="42" ht="26.85" customHeight="1" s="15">
      <c r="A42" s="25" t="inlineStr">
        <is>
          <t>AddCandidate (POST)</t>
        </is>
      </c>
      <c r="B42" s="25" t="inlineStr">
        <is>
          <t>P21</t>
        </is>
      </c>
      <c r="C42" s="25" t="inlineStr">
        <is>
          <t>1(F) → 2(F) → 4 → 5(F) → 6(F) → 8 → 9(T) → 10 → 11(F) → 12(F) → 13(F) → 15 → 16(F) → 18(F) → 21(F) → 23 → 24(F) → 26 → 27(T) → 28 → 29(T) → 30(F) → 31 → 32(T) → 33(T) → 34 → 35(T) → 36(T) → 37 → End</t>
        </is>
      </c>
      <c r="D42" s="25" t="inlineStr">
        <is>
          <t>'/\host/..' (parsed as file: URI)</t>
        </is>
      </c>
      <c r="E42" s="25" t="inlineStr">
        <is>
          <t>Redirect with error</t>
        </is>
      </c>
      <c r="F42" s="25" t="inlineStr">
        <is>
          <t>ProgramOwnerBoundaryTests.AddCandidate_SlashBackslashOrDoubleSlashImageUrl_IsRejected(imageUrl: "/\\evil.example/a.png")</t>
        </is>
      </c>
      <c r="G42" s="26" t="inlineStr">
        <is>
          <t>Pass</t>
        </is>
      </c>
      <c r="H42" s="25" t="n"/>
    </row>
    <row r="43" ht="26.85" customHeight="1" s="15">
      <c r="A43" s="25" t="inlineStr">
        <is>
          <t>AddCandidate (POST)</t>
        </is>
      </c>
      <c r="B43" s="25" t="inlineStr">
        <is>
          <t>P22</t>
        </is>
      </c>
      <c r="C43" s="25" t="inlineStr">
        <is>
          <t>1(F) → 2(F) → 4 → 5(F) → 6(F) → 8 → 9(T) → 10 → 11(F) → 12(F) → 13(F) → 15 → 16(F) → 18(F) → 21(F) → 23 → 24(F) → 26 → 27(F) → 39 → 40(T) → 41 → End</t>
        </is>
      </c>
      <c r="D43" s="25" t="inlineStr">
        <is>
          <t>SaveChanges throws DbUpdateException</t>
        </is>
      </c>
      <c r="E43" s="25" t="inlineStr">
        <is>
          <t>Redirect with error</t>
        </is>
      </c>
      <c r="F43" s="25" t="inlineStr">
        <is>
          <t>ProgramOwnerBoundaryTests.AddCandidate_SaveFails_RedirectsWithError</t>
        </is>
      </c>
      <c r="G43" s="26" t="inlineStr">
        <is>
          <t>Pass</t>
        </is>
      </c>
      <c r="H43" s="25" t="inlineStr">
        <is>
          <t>Fault injection: FailingSaveInterceptor</t>
        </is>
      </c>
    </row>
    <row r="44" ht="26.85" customHeight="1" s="15">
      <c r="A44" s="25" t="inlineStr">
        <is>
          <t>DeleteCandidate (POST)</t>
        </is>
      </c>
      <c r="B44" s="25" t="inlineStr">
        <is>
          <t>P1</t>
        </is>
      </c>
      <c r="C44" s="25" t="inlineStr">
        <is>
          <t>1 → 2(T) → 3 → End</t>
        </is>
      </c>
      <c r="D44" s="25" t="inlineStr">
        <is>
          <t>program not found</t>
        </is>
      </c>
      <c r="E44" s="25" t="inlineStr">
        <is>
          <t>NotFound</t>
        </is>
      </c>
      <c r="F44" s="25" t="inlineStr">
        <is>
          <t>ProgramOwnerBoundaryTests.DeleteCandidate_MissingProgram_ReturnsNotFound
ProgramOwnerControllerTests.DeleteCandidate_MissingCandidate_ReturnsNotFound</t>
        </is>
      </c>
      <c r="G44" s="26" t="inlineStr">
        <is>
          <t>Pass</t>
        </is>
      </c>
      <c r="H44" s="25" t="n"/>
    </row>
    <row r="45" ht="26.85" customHeight="1" s="15">
      <c r="A45" s="25" t="inlineStr">
        <is>
          <t>DeleteCandidate (POST)</t>
        </is>
      </c>
      <c r="B45" s="25" t="inlineStr">
        <is>
          <t>P2</t>
        </is>
      </c>
      <c r="C45" s="25" t="inlineStr">
        <is>
          <t>1 → 2(F) → 4(T) → 5(T) → 6 → End</t>
        </is>
      </c>
      <c r="D45" s="25" t="inlineStr">
        <is>
          <t>not owner, not admin</t>
        </is>
      </c>
      <c r="E45" s="25" t="inlineStr">
        <is>
          <t>Forbid</t>
        </is>
      </c>
      <c r="F45" s="25" t="inlineStr">
        <is>
          <t>ProgramOwnerControllerTests.DeleteCandidate_EnforcesOwnership(admin: False, allowed: False)</t>
        </is>
      </c>
      <c r="G45" s="26" t="inlineStr">
        <is>
          <t>Pass</t>
        </is>
      </c>
      <c r="H45" s="25" t="n"/>
    </row>
    <row r="46" ht="26.85" customHeight="1" s="15">
      <c r="A46" s="25" t="inlineStr">
        <is>
          <t>DeleteCandidate (POST)</t>
        </is>
      </c>
      <c r="B46" s="25" t="inlineStr">
        <is>
          <t>P3</t>
        </is>
      </c>
      <c r="C46" s="25" t="inlineStr">
        <is>
          <t>1 → 2(F) → 4(T) → 5(F) → 7 → 8(F) → 10(F) → 12(F) → 14 → 15(F) → 17 → End</t>
        </is>
      </c>
      <c r="D46" s="25" t="inlineStr">
        <is>
          <t>not owner, is admin</t>
        </is>
      </c>
      <c r="E46" s="25" t="inlineStr">
        <is>
          <t>Candidate deleted</t>
        </is>
      </c>
      <c r="F46" s="25" t="inlineStr">
        <is>
          <t>ProgramOwnerControllerTests.DeleteCandidate_EnforcesOwnership(admin: True, allowed: True)</t>
        </is>
      </c>
      <c r="G46" s="26" t="inlineStr">
        <is>
          <t>Pass</t>
        </is>
      </c>
      <c r="H46" s="25" t="n"/>
    </row>
    <row r="47" ht="26.85" customHeight="1" s="15">
      <c r="A47" s="25" t="inlineStr">
        <is>
          <t>DeleteCandidate (POST)</t>
        </is>
      </c>
      <c r="B47" s="25" t="inlineStr">
        <is>
          <t>P4</t>
        </is>
      </c>
      <c r="C47" s="25" t="inlineStr">
        <is>
          <t>1 → 2(F) → 4(F) → 7 → 8(T) → 9 → End</t>
        </is>
      </c>
      <c r="D47" s="25" t="inlineStr">
        <is>
          <t>candidate missing or in another program</t>
        </is>
      </c>
      <c r="E47" s="25" t="inlineStr">
        <is>
          <t>NotFound</t>
        </is>
      </c>
      <c r="F47" s="25" t="inlineStr">
        <is>
          <t>ProgramOwnerControllerTests.DeleteCandidate_WrongProgram_ReturnsNotFound
ProgramOwnerDefectTests.D11_DeleteCandidate_ExistingAndMissingCandidateOfOtherProgram_BehaveTheSame</t>
        </is>
      </c>
      <c r="G47" s="26" t="inlineStr">
        <is>
          <t>Pass</t>
        </is>
      </c>
      <c r="H47" s="25" t="inlineStr">
        <is>
          <t>Defect D11 (regression test)</t>
        </is>
      </c>
    </row>
    <row r="48" ht="26.85" customHeight="1" s="15">
      <c r="A48" s="25" t="inlineStr">
        <is>
          <t>DeleteCandidate (POST)</t>
        </is>
      </c>
      <c r="B48" s="25" t="inlineStr">
        <is>
          <t>P5</t>
        </is>
      </c>
      <c r="C48" s="25" t="inlineStr">
        <is>
          <t>1 → 2(F) → 4(F) → 7 → 8(F) → 10(T) → 11 → End</t>
        </is>
      </c>
      <c r="D48" s="25" t="inlineStr">
        <is>
          <t>program has started</t>
        </is>
      </c>
      <c r="E48" s="25" t="inlineStr">
        <is>
          <t>Redirect with error, candidate kept</t>
        </is>
      </c>
      <c r="F48" s="25" t="inlineStr">
        <is>
          <t>ProgramOwnerDefectTests.D02_DeleteCandidate_WhileProgramIsActive_IsRejected</t>
        </is>
      </c>
      <c r="G48" s="26" t="inlineStr">
        <is>
          <t>Pass</t>
        </is>
      </c>
      <c r="H48" s="25" t="inlineStr">
        <is>
          <t>Defect D02 (regression test)</t>
        </is>
      </c>
    </row>
    <row r="49" ht="26.85" customHeight="1" s="15">
      <c r="A49" s="25" t="inlineStr">
        <is>
          <t>DeleteCandidate (POST)</t>
        </is>
      </c>
      <c r="B49" s="25" t="inlineStr">
        <is>
          <t>P6</t>
        </is>
      </c>
      <c r="C49" s="25" t="inlineStr">
        <is>
          <t>1 → 2(F) → 4(F) → 7 → 8(F) → 10(F) → 12(T) → 13 → End</t>
        </is>
      </c>
      <c r="D49" s="25" t="inlineStr">
        <is>
          <t>candidate has recorded votes</t>
        </is>
      </c>
      <c r="E49" s="25" t="inlineStr">
        <is>
          <t>Redirect with error, votes kept</t>
        </is>
      </c>
      <c r="F49" s="25" t="inlineStr">
        <is>
          <t>ProgramOwnerDefectTests.D03_DeleteCandidate_WithRecordedVotes_IsRejected</t>
        </is>
      </c>
      <c r="G49" s="26" t="inlineStr">
        <is>
          <t>Pass</t>
        </is>
      </c>
      <c r="H49" s="25" t="inlineStr">
        <is>
          <t>Defect D03 (regression test)</t>
        </is>
      </c>
    </row>
    <row r="50" ht="26.85" customHeight="1" s="15">
      <c r="A50" s="25" t="inlineStr">
        <is>
          <t>DeleteCandidate (POST)</t>
        </is>
      </c>
      <c r="B50" s="25" t="inlineStr">
        <is>
          <t>P7</t>
        </is>
      </c>
      <c r="C50" s="25" t="inlineStr">
        <is>
          <t>1 → 2(F) → 4(F) → 7 → 8(F) → 10(F) → 12(F) → 14 → 15(T) → 16 → End</t>
        </is>
      </c>
      <c r="D50" s="25" t="inlineStr">
        <is>
          <t>SaveChanges throws DbUpdateException</t>
        </is>
      </c>
      <c r="E50" s="25" t="inlineStr">
        <is>
          <t>Redirect with error</t>
        </is>
      </c>
      <c r="F50" s="25" t="inlineStr">
        <is>
          <t>ProgramOwnerBoundaryTests.DeleteCandidate_SaveFails_RedirectsWithErrorAndKeepsCandidate</t>
        </is>
      </c>
      <c r="G50" s="26" t="inlineStr">
        <is>
          <t>Pass</t>
        </is>
      </c>
      <c r="H50" s="25" t="inlineStr">
        <is>
          <t>Fault injection: FailingSaveInterceptor</t>
        </is>
      </c>
    </row>
    <row r="51" ht="26.85" customHeight="1" s="15">
      <c r="A51" s="25" t="inlineStr">
        <is>
          <t>DeleteCandidate (POST)</t>
        </is>
      </c>
      <c r="B51" s="25" t="inlineStr">
        <is>
          <t>P8</t>
        </is>
      </c>
      <c r="C51" s="25" t="inlineStr">
        <is>
          <t>1 → 2(F) → 4(F) → 7 → 8(F) → 10(F) → 12(F) → 14 → 15(F) → 17 → End</t>
        </is>
      </c>
      <c r="D51" s="25" t="inlineStr">
        <is>
          <t>owner deletes own candidate</t>
        </is>
      </c>
      <c r="E51" s="25" t="inlineStr">
        <is>
          <t>Candidate deleted, success message</t>
        </is>
      </c>
      <c r="F51" s="25" t="inlineStr">
        <is>
          <t>ProgramOwnerBoundaryTests.DeleteCandidate_Owner_DeletesCandidate</t>
        </is>
      </c>
      <c r="G51" s="26" t="inlineStr">
        <is>
          <t>Pass</t>
        </is>
      </c>
      <c r="H51" s="25" t="inlineStr">
        <is>
          <t>Baseline path</t>
        </is>
      </c>
    </row>
    <row r="52" ht="26.85" customHeight="1" s="15">
      <c r="A52" s="25" t="inlineStr">
        <is>
          <t>Results (GET)</t>
        </is>
      </c>
      <c r="B52" s="25" t="inlineStr">
        <is>
          <t>P1</t>
        </is>
      </c>
      <c r="C52" s="25" t="inlineStr">
        <is>
          <t>1 → 2(T) → 3 → End</t>
        </is>
      </c>
      <c r="D52" s="25" t="inlineStr">
        <is>
          <t>program not found</t>
        </is>
      </c>
      <c r="E52" s="25" t="inlineStr">
        <is>
          <t>NotFound</t>
        </is>
      </c>
      <c r="F52" s="25" t="inlineStr">
        <is>
          <t>ProgramOwnerControllerTests.Results_MissingProgram_ReturnsNotFound</t>
        </is>
      </c>
      <c r="G52" s="26" t="inlineStr">
        <is>
          <t>Pass</t>
        </is>
      </c>
      <c r="H52" s="25" t="n"/>
    </row>
    <row r="53" ht="26.85" customHeight="1" s="15">
      <c r="A53" s="25" t="inlineStr">
        <is>
          <t>Results (GET)</t>
        </is>
      </c>
      <c r="B53" s="25" t="inlineStr">
        <is>
          <t>P2</t>
        </is>
      </c>
      <c r="C53" s="25" t="inlineStr">
        <is>
          <t>1 → 2(F) → 4(T) → 5(T) → 6 → End</t>
        </is>
      </c>
      <c r="D53" s="25" t="inlineStr">
        <is>
          <t>not owner, not admin</t>
        </is>
      </c>
      <c r="E53" s="25" t="inlineStr">
        <is>
          <t>Forbid</t>
        </is>
      </c>
      <c r="F53" s="25" t="inlineStr">
        <is>
          <t>ProgramOwnerControllerTests.Results_OtherOwner_ReturnsForbid</t>
        </is>
      </c>
      <c r="G53" s="26" t="inlineStr">
        <is>
          <t>Pass</t>
        </is>
      </c>
      <c r="H53" s="25" t="n"/>
    </row>
    <row r="54" ht="26.85" customHeight="1" s="15">
      <c r="A54" s="25" t="inlineStr">
        <is>
          <t>Results (GET)</t>
        </is>
      </c>
      <c r="B54" s="25" t="inlineStr">
        <is>
          <t>P3</t>
        </is>
      </c>
      <c r="C54" s="25" t="inlineStr">
        <is>
          <t>1 → 2(F) → 4(F) → 7 → 8 → 9 → End</t>
        </is>
      </c>
      <c r="D54" s="25" t="inlineStr">
        <is>
          <t>current user is owner</t>
        </is>
      </c>
      <c r="E54" s="25" t="inlineStr">
        <is>
          <t>Results view + blockchain status</t>
        </is>
      </c>
      <c r="F54" s="25" t="inlineStr">
        <is>
          <t>ProgramOwnerControllerTests.Results_OwnerLoadsResultsAndBlockchainStatus</t>
        </is>
      </c>
      <c r="G54" s="26" t="inlineStr">
        <is>
          <t>Pass</t>
        </is>
      </c>
      <c r="H54" s="25" t="n"/>
    </row>
    <row r="55" ht="26.85" customHeight="1" s="15">
      <c r="A55" s="25" t="inlineStr">
        <is>
          <t>Results (GET)</t>
        </is>
      </c>
      <c r="B55" s="25" t="inlineStr">
        <is>
          <t>P4</t>
        </is>
      </c>
      <c r="C55" s="25" t="inlineStr">
        <is>
          <t>1 → 2(F) → 4(T) → 5(F) → 7 → 8 → 9 → End</t>
        </is>
      </c>
      <c r="D55" s="25" t="inlineStr">
        <is>
          <t>not owner, is admin</t>
        </is>
      </c>
      <c r="E55" s="25" t="inlineStr">
        <is>
          <t>Results view</t>
        </is>
      </c>
      <c r="F55" s="25" t="inlineStr">
        <is>
          <t>ProgramOwnerBoundaryTests.Results_AdminOnAnotherOwnersProgram_ReturnsView</t>
        </is>
      </c>
      <c r="G55" s="26" t="inlineStr">
        <is>
          <t>Pass</t>
        </is>
      </c>
      <c r="H55" s="25" t="n"/>
    </row>
    <row r="56" ht="26.85" customHeight="1" s="15">
      <c r="A56" s="25" t="inlineStr">
        <is>
          <t>ManageVoters (GET)</t>
        </is>
      </c>
      <c r="B56" s="25" t="inlineStr">
        <is>
          <t>P1</t>
        </is>
      </c>
      <c r="C56" s="25" t="inlineStr">
        <is>
          <t>1 → 2(T) → 3 → End</t>
        </is>
      </c>
      <c r="D56" s="25" t="inlineStr">
        <is>
          <t>program not found</t>
        </is>
      </c>
      <c r="E56" s="25" t="inlineStr">
        <is>
          <t>NotFound</t>
        </is>
      </c>
      <c r="F56" s="25" t="inlineStr">
        <is>
          <t>ProgramOwnerControllerTests.ManageVoters_MissingProgram_ReturnsNotFound</t>
        </is>
      </c>
      <c r="G56" s="26" t="inlineStr">
        <is>
          <t>Pass</t>
        </is>
      </c>
      <c r="H56" s="25" t="n"/>
    </row>
    <row r="57" ht="26.85" customHeight="1" s="15">
      <c r="A57" s="25" t="inlineStr">
        <is>
          <t>ManageVoters (GET)</t>
        </is>
      </c>
      <c r="B57" s="25" t="inlineStr">
        <is>
          <t>P2</t>
        </is>
      </c>
      <c r="C57" s="25" t="inlineStr">
        <is>
          <t>1 → 2(F) → 4(T) → 5(T) → 6 → End</t>
        </is>
      </c>
      <c r="D57" s="25" t="inlineStr">
        <is>
          <t>not owner, not admin</t>
        </is>
      </c>
      <c r="E57" s="25" t="inlineStr">
        <is>
          <t>Forbid</t>
        </is>
      </c>
      <c r="F57" s="25" t="inlineStr">
        <is>
          <t>ProgramOwnerControllerTests.ManageVoters_OtherOwner_ReturnsForbid</t>
        </is>
      </c>
      <c r="G57" s="26" t="inlineStr">
        <is>
          <t>Pass</t>
        </is>
      </c>
      <c r="H57" s="25" t="n"/>
    </row>
    <row r="58" ht="26.85" customHeight="1" s="15">
      <c r="A58" s="25" t="inlineStr">
        <is>
          <t>ManageVoters (GET)</t>
        </is>
      </c>
      <c r="B58" s="25" t="inlineStr">
        <is>
          <t>P3</t>
        </is>
      </c>
      <c r="C58" s="25" t="inlineStr">
        <is>
          <t>1 → 2(F) → 4(F) → 7 → 8 → 9 → End</t>
        </is>
      </c>
      <c r="D58" s="25" t="inlineStr">
        <is>
          <t>current user is owner</t>
        </is>
      </c>
      <c r="E58" s="25" t="inlineStr">
        <is>
          <t>View with voter list</t>
        </is>
      </c>
      <c r="F58" s="25" t="inlineStr">
        <is>
          <t>ProgramOwnerControllerTests.ManageVoters_OwnerLoadsVoters</t>
        </is>
      </c>
      <c r="G58" s="26" t="inlineStr">
        <is>
          <t>Pass</t>
        </is>
      </c>
      <c r="H58" s="25" t="n"/>
    </row>
    <row r="59" ht="26.85" customHeight="1" s="15">
      <c r="A59" s="25" t="inlineStr">
        <is>
          <t>ManageVoters (GET)</t>
        </is>
      </c>
      <c r="B59" s="25" t="inlineStr">
        <is>
          <t>P4</t>
        </is>
      </c>
      <c r="C59" s="25" t="inlineStr">
        <is>
          <t>1 → 2(F) → 4(T) → 5(F) → 7 → 8 → 9 → End</t>
        </is>
      </c>
      <c r="D59" s="25" t="inlineStr">
        <is>
          <t>not owner, is admin</t>
        </is>
      </c>
      <c r="E59" s="25" t="inlineStr">
        <is>
          <t>View with voter list</t>
        </is>
      </c>
      <c r="F59" s="25" t="inlineStr">
        <is>
          <t>ProgramOwnerBoundaryTests.ManageVoters_AdminOnAnotherOwnersProgram_ReturnsView</t>
        </is>
      </c>
      <c r="G59" s="26" t="inlineStr">
        <is>
          <t>Pass</t>
        </is>
      </c>
      <c r="H59" s="25" t="n"/>
    </row>
    <row r="60" ht="26.85" customHeight="1" s="15">
      <c r="A60" s="25" t="inlineStr">
        <is>
          <t>RegisterVoter (POST)</t>
        </is>
      </c>
      <c r="B60" s="25" t="inlineStr">
        <is>
          <t>P1</t>
        </is>
      </c>
      <c r="C60" s="25" t="inlineStr">
        <is>
          <t>1 → 2(T) → 3 → End</t>
        </is>
      </c>
      <c r="D60" s="25" t="inlineStr">
        <is>
          <t>program not found</t>
        </is>
      </c>
      <c r="E60" s="25" t="inlineStr">
        <is>
          <t>NotFound</t>
        </is>
      </c>
      <c r="F60" s="25" t="inlineStr">
        <is>
          <t>ProgramOwnerDefectTests.D11_RegisterVoterPost_MissingProgram_ReturnsNotFoundLikeTheOtherActions</t>
        </is>
      </c>
      <c r="G60" s="26" t="inlineStr">
        <is>
          <t>Pass</t>
        </is>
      </c>
      <c r="H60" s="25" t="inlineStr">
        <is>
          <t>Defect D11 (fixed 2026-10-13)</t>
        </is>
      </c>
    </row>
    <row r="61" ht="26.85" customHeight="1" s="15">
      <c r="A61" s="25" t="inlineStr">
        <is>
          <t>RegisterVoter (POST)</t>
        </is>
      </c>
      <c r="B61" s="25" t="inlineStr">
        <is>
          <t>P2</t>
        </is>
      </c>
      <c r="C61" s="25" t="inlineStr">
        <is>
          <t>1 → 2(F) → 4(T) → 5(T) → 6 → End</t>
        </is>
      </c>
      <c r="D61" s="25" t="inlineStr">
        <is>
          <t>not owner, not admin</t>
        </is>
      </c>
      <c r="E61" s="25" t="inlineStr">
        <is>
          <t>Forbid; service not called</t>
        </is>
      </c>
      <c r="F61" s="25" t="inlineStr">
        <is>
          <t>ProgramOwnerBoundaryTests.RegisterVoterPost_OtherOwner_ReturnsForbidWithoutCallingService</t>
        </is>
      </c>
      <c r="G61" s="26" t="inlineStr">
        <is>
          <t>Pass</t>
        </is>
      </c>
      <c r="H61" s="25" t="n"/>
    </row>
    <row r="62" ht="26.85" customHeight="1" s="15">
      <c r="A62" s="25" t="inlineStr">
        <is>
          <t>RegisterVoter (POST)</t>
        </is>
      </c>
      <c r="B62" s="25" t="inlineStr">
        <is>
          <t>P3</t>
        </is>
      </c>
      <c r="C62" s="25" t="inlineStr">
        <is>
          <t>1 → 2(F) → 4(T) → 5(F) → 7 → 8(F) → 10 → End</t>
        </is>
      </c>
      <c r="D62" s="25" t="inlineStr">
        <is>
          <t>not owner, is admin; service succeeds</t>
        </is>
      </c>
      <c r="E62" s="25" t="inlineStr">
        <is>
          <t>Redirect with success</t>
        </is>
      </c>
      <c r="F62" s="25" t="inlineStr">
        <is>
          <t>ProgramOwnerBoundaryTests.RegisterVoterPost_AdminOnAnotherOwnersProgram_CallsService</t>
        </is>
      </c>
      <c r="G62" s="26" t="inlineStr">
        <is>
          <t>Pass</t>
        </is>
      </c>
      <c r="H62" s="25" t="n"/>
    </row>
    <row r="63" ht="26.85" customHeight="1" s="15">
      <c r="A63" s="25" t="inlineStr">
        <is>
          <t>RegisterVoter (POST)</t>
        </is>
      </c>
      <c r="B63" s="25" t="inlineStr">
        <is>
          <t>P4</t>
        </is>
      </c>
      <c r="C63" s="25" t="inlineStr">
        <is>
          <t>1 → 2(F) → 4(F) → 7 → 8(T) → 9 → End</t>
        </is>
      </c>
      <c r="D63" s="25" t="inlineStr">
        <is>
          <t>owner; service fails</t>
        </is>
      </c>
      <c r="E63" s="25" t="inlineStr">
        <is>
          <t>Redirect with error</t>
        </is>
      </c>
      <c r="F63" s="25" t="inlineStr">
        <is>
          <t>ProgramOwnerControllerTests.RegisterVoterPost_ServiceFailure_RedirectsWithError</t>
        </is>
      </c>
      <c r="G63" s="26" t="inlineStr">
        <is>
          <t>Pass</t>
        </is>
      </c>
      <c r="H63" s="25" t="n"/>
    </row>
    <row r="64" ht="26.85" customHeight="1" s="15">
      <c r="A64" s="25" t="inlineStr">
        <is>
          <t>RegisterVoter (POST)</t>
        </is>
      </c>
      <c r="B64" s="25" t="inlineStr">
        <is>
          <t>P5</t>
        </is>
      </c>
      <c r="C64" s="25" t="inlineStr">
        <is>
          <t>1 → 2(F) → 4(F) → 7 → 8(F) → 10 → End</t>
        </is>
      </c>
      <c r="D64" s="25" t="inlineStr">
        <is>
          <t>owner; service succeeds</t>
        </is>
      </c>
      <c r="E64" s="25" t="inlineStr">
        <is>
          <t>Redirect with success</t>
        </is>
      </c>
      <c r="F64" s="25" t="inlineStr">
        <is>
          <t>ProgramOwnerControllerTests.RegisterVoterPost_ServiceSuccess_Redirects</t>
        </is>
      </c>
      <c r="G64" s="26" t="inlineStr">
        <is>
          <t>Pass</t>
        </is>
      </c>
      <c r="H64" s="25" t="inlineStr">
        <is>
          <t>Baseline path</t>
        </is>
      </c>
    </row>
    <row r="65" ht="26.85" customHeight="1" s="15">
      <c r="A65" s="25" t="inlineStr">
        <is>
          <t>Delete (POST)</t>
        </is>
      </c>
      <c r="B65" s="25" t="inlineStr">
        <is>
          <t>P1</t>
        </is>
      </c>
      <c r="C65" s="25" t="inlineStr">
        <is>
          <t>1 → 2(T) → 3 → End</t>
        </is>
      </c>
      <c r="D65" s="25" t="inlineStr">
        <is>
          <t>program not found</t>
        </is>
      </c>
      <c r="E65" s="25" t="inlineStr">
        <is>
          <t>NotFound</t>
        </is>
      </c>
      <c r="F65" s="25" t="inlineStr">
        <is>
          <t>ProgramOwnerControllerTests.Delete_MissingProgram_ReturnsNotFound</t>
        </is>
      </c>
      <c r="G65" s="26" t="inlineStr">
        <is>
          <t>Pass</t>
        </is>
      </c>
      <c r="H65" s="25" t="n"/>
    </row>
    <row r="66" ht="26.85" customHeight="1" s="15">
      <c r="A66" s="25" t="inlineStr">
        <is>
          <t>Delete (POST)</t>
        </is>
      </c>
      <c r="B66" s="25" t="inlineStr">
        <is>
          <t>P2</t>
        </is>
      </c>
      <c r="C66" s="25" t="inlineStr">
        <is>
          <t>1 → 2(F) → 4(T) → 5(T) → 6 → End</t>
        </is>
      </c>
      <c r="D66" s="25" t="inlineStr">
        <is>
          <t>not owner, not admin</t>
        </is>
      </c>
      <c r="E66" s="25" t="inlineStr">
        <is>
          <t>Forbid</t>
        </is>
      </c>
      <c r="F66" s="25" t="inlineStr">
        <is>
          <t>ProgramOwnerControllerTests.Delete_OtherOwner_ReturnsForbid</t>
        </is>
      </c>
      <c r="G66" s="26" t="inlineStr">
        <is>
          <t>Pass</t>
        </is>
      </c>
      <c r="H66" s="25" t="n"/>
    </row>
    <row r="67" ht="26.85" customHeight="1" s="15">
      <c r="A67" s="25" t="inlineStr">
        <is>
          <t>Delete (POST)</t>
        </is>
      </c>
      <c r="B67" s="25" t="inlineStr">
        <is>
          <t>P3</t>
        </is>
      </c>
      <c r="C67" s="25" t="inlineStr">
        <is>
          <t>1 → 2(F) → 4(T) → 5(F) → 7(T) → 8(F) → 11(F) → 13 → 14(F) → 16 → End</t>
        </is>
      </c>
      <c r="D67" s="25" t="inlineStr">
        <is>
          <t>not owner, is admin; published and ended</t>
        </is>
      </c>
      <c r="E67" s="25" t="inlineStr">
        <is>
          <t>Program deleted</t>
        </is>
      </c>
      <c r="F67" s="25" t="inlineStr">
        <is>
          <t>ProgramOwnerBoundaryTests.Delete_AdminOnAnotherOwnersEndedProgram_RemovesProgram</t>
        </is>
      </c>
      <c r="G67" s="26" t="inlineStr">
        <is>
          <t>Pass</t>
        </is>
      </c>
      <c r="H67" s="25" t="n"/>
    </row>
    <row r="68" ht="26.85" customHeight="1" s="15">
      <c r="A68" s="25" t="inlineStr">
        <is>
          <t>Delete (POST)</t>
        </is>
      </c>
      <c r="B68" s="25" t="inlineStr">
        <is>
          <t>P4</t>
        </is>
      </c>
      <c r="C68" s="25" t="inlineStr">
        <is>
          <t>1 → 2(F) → 4(F) → 7(F) → 11(F) → 13 → 14(F) → 16 → End</t>
        </is>
      </c>
      <c r="D68" s="25" t="inlineStr">
        <is>
          <t>owner; not published</t>
        </is>
      </c>
      <c r="E68" s="25" t="inlineStr">
        <is>
          <t>Program deleted</t>
        </is>
      </c>
      <c r="F68" s="25" t="inlineStr">
        <is>
          <t>ProgramOwnerBoundaryTests.Delete_UnpublishedProgram_RemovesProgram</t>
        </is>
      </c>
      <c r="G68" s="26" t="inlineStr">
        <is>
          <t>Pass</t>
        </is>
      </c>
      <c r="H68" s="25" t="inlineStr">
        <is>
          <t>Baseline path</t>
        </is>
      </c>
    </row>
    <row r="69" ht="26.85" customHeight="1" s="15">
      <c r="A69" s="25" t="inlineStr">
        <is>
          <t>Delete (POST)</t>
        </is>
      </c>
      <c r="B69" s="25" t="inlineStr">
        <is>
          <t>P5</t>
        </is>
      </c>
      <c r="C69" s="25" t="inlineStr">
        <is>
          <t>1 → 2(F) → 4(F) → 7(T) → 8(F) → 11(F) → 13 → 14(F) → 16 → End</t>
        </is>
      </c>
      <c r="D69" s="25" t="inlineStr">
        <is>
          <t>owner; published and ended</t>
        </is>
      </c>
      <c r="E69" s="25" t="inlineStr">
        <is>
          <t>Program deleted</t>
        </is>
      </c>
      <c r="F69" s="25" t="inlineStr">
        <is>
          <t>ProgramOwnerControllerTests.Delete_EndedProgram_RemovesProgram
ProgramOwnerBoundaryTests.Delete_PublishedProgramAroundEndTime_RespectsBoundary(secondsFromNow: -1, deleted: True)</t>
        </is>
      </c>
      <c r="G69" s="26" t="inlineStr">
        <is>
          <t>Pass</t>
        </is>
      </c>
      <c r="H69" s="25" t="n"/>
    </row>
    <row r="70" ht="26.85" customHeight="1" s="15">
      <c r="A70" s="25" t="inlineStr">
        <is>
          <t>Delete (POST)</t>
        </is>
      </c>
      <c r="B70" s="25" t="inlineStr">
        <is>
          <t>P6</t>
        </is>
      </c>
      <c r="C70" s="25" t="inlineStr">
        <is>
          <t>1 → 2(F) → 4(F) → 7(T) → 8(T) → 9(T) → 10 → End</t>
        </is>
      </c>
      <c r="D70" s="25" t="inlineStr">
        <is>
          <t>published, started, not ended</t>
        </is>
      </c>
      <c r="E70" s="25" t="inlineStr">
        <is>
          <t>Refused: 'voting is in progress'</t>
        </is>
      </c>
      <c r="F70" s="25" t="inlineStr">
        <is>
          <t>ProgramOwnerControllerTests.Delete_ActivePublishedProgram_IsRejected
ProgramOwnerDefectTests.D33_Delete_ActiveProgram_DoesNotSuggestAnImpossibleUnpublish</t>
        </is>
      </c>
      <c r="G70" s="26" t="inlineStr">
        <is>
          <t>Pass</t>
        </is>
      </c>
      <c r="H70" s="25" t="inlineStr">
        <is>
          <t>Defect D33 (fixed 2026-10-13)</t>
        </is>
      </c>
    </row>
    <row r="71" ht="26.85" customHeight="1" s="15">
      <c r="A71" s="25" t="inlineStr">
        <is>
          <t>Delete (POST)</t>
        </is>
      </c>
      <c r="B71" s="25" t="inlineStr">
        <is>
          <t>P7</t>
        </is>
      </c>
      <c r="C71" s="25" t="inlineStr">
        <is>
          <t>1 → 2(F) → 4(F) → 7(T) → 8(T) → 9(F) → 10 → End</t>
        </is>
      </c>
      <c r="D71" s="25" t="inlineStr">
        <is>
          <t>published, not yet started</t>
        </is>
      </c>
      <c r="E71" s="25" t="inlineStr">
        <is>
          <t>Refused: 'Unpublish it first'</t>
        </is>
      </c>
      <c r="F71" s="25" t="inlineStr">
        <is>
          <t>ProgramOwnerBoundaryTests.Delete_PublishedUpcomingProgram_IsRefusedWithUnpublishHint</t>
        </is>
      </c>
      <c r="G71" s="26" t="inlineStr">
        <is>
          <t>Pass</t>
        </is>
      </c>
      <c r="H71" s="25" t="n"/>
    </row>
    <row r="72" ht="26.85" customHeight="1" s="15">
      <c r="A72" s="25" t="inlineStr">
        <is>
          <t>Delete (POST)</t>
        </is>
      </c>
      <c r="B72" s="25" t="inlineStr">
        <is>
          <t>P8</t>
        </is>
      </c>
      <c r="C72" s="25" t="inlineStr">
        <is>
          <t>1 → 2(F) → 4(F) → 7(F) → 11(T) → 12 → End</t>
        </is>
      </c>
      <c r="D72" s="25" t="inlineStr">
        <is>
          <t>votes recorded</t>
        </is>
      </c>
      <c r="E72" s="25" t="inlineStr">
        <is>
          <t>Refused, program and votes kept</t>
        </is>
      </c>
      <c r="F72" s="25" t="inlineStr">
        <is>
          <t>ProgramOwnerDefectTests.D05_Delete_EndedProgramWithVotes_IsNotHardDeleted</t>
        </is>
      </c>
      <c r="G72" s="26" t="inlineStr">
        <is>
          <t>Pass</t>
        </is>
      </c>
      <c r="H72" s="25" t="inlineStr">
        <is>
          <t>Defect D05 (regression test)</t>
        </is>
      </c>
    </row>
    <row r="73" ht="26.85" customHeight="1" s="15">
      <c r="A73" s="25" t="inlineStr">
        <is>
          <t>Delete (POST)</t>
        </is>
      </c>
      <c r="B73" s="25" t="inlineStr">
        <is>
          <t>P9</t>
        </is>
      </c>
      <c r="C73" s="25" t="inlineStr">
        <is>
          <t>1 → 2(F) → 4(F) → 7(F) → 11(F) → 13 → 14(T) → 15 → End</t>
        </is>
      </c>
      <c r="D73" s="25" t="inlineStr">
        <is>
          <t>SaveChanges throws DbUpdateException</t>
        </is>
      </c>
      <c r="E73" s="25" t="inlineStr">
        <is>
          <t>Redirect with error</t>
        </is>
      </c>
      <c r="F73" s="25" t="inlineStr">
        <is>
          <t>ProgramOwnerBoundaryTests.Delete_SaveFails_RedirectsWithError</t>
        </is>
      </c>
      <c r="G73" s="26" t="inlineStr">
        <is>
          <t>Pass</t>
        </is>
      </c>
      <c r="H73" s="25" t="inlineStr">
        <is>
          <t>Fault injection: FailingSaveInterceptor</t>
        </is>
      </c>
    </row>
  </sheetData>
  <autoFilter ref="A4:H6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26" customWidth="1" style="14" min="2" max="2"/>
    <col width="7" customWidth="1" style="14" min="3" max="3"/>
    <col width="10" customWidth="1" style="14" min="4" max="4"/>
    <col width="12" customWidth="1" style="14" min="5" max="5"/>
    <col width="90" customWidth="1" style="14" min="6" max="6"/>
  </cols>
  <sheetData>
    <row r="1" ht="16.15" customHeight="1" s="15">
      <c r="A1" s="16" t="inlineStr">
        <is>
          <t>Node legend for the 12 actions drawn in the diagrams (10 in scope + Edit (GET) and RemoveVoter (POST))</t>
        </is>
      </c>
    </row>
    <row r="3" ht="26.85" customHeight="1" s="15">
      <c r="A3" s="18" t="inlineStr">
        <is>
          <t>Diagram</t>
        </is>
      </c>
      <c r="B3" s="18" t="inlineStr">
        <is>
          <t>Function</t>
        </is>
      </c>
      <c r="C3" s="18" t="inlineStr">
        <is>
          <t>Node</t>
        </is>
      </c>
      <c r="D3" s="18" t="inlineStr">
        <is>
          <t>Type</t>
        </is>
      </c>
      <c r="E3" s="18" t="inlineStr">
        <is>
          <t>Source lines</t>
        </is>
      </c>
      <c r="F3" s="18" t="inlineStr">
        <is>
          <t>Statement or decision</t>
        </is>
      </c>
    </row>
    <row r="4" ht="15" customHeight="1" s="15">
      <c r="A4" s="25" t="n">
        <v>1</v>
      </c>
      <c r="B4" s="25" t="inlineStr">
        <is>
          <t>MyPrograms</t>
        </is>
      </c>
      <c r="C4" s="25" t="n">
        <v>1</v>
      </c>
      <c r="D4" s="25" t="inlineStr">
        <is>
          <t>Process</t>
        </is>
      </c>
      <c r="E4" s="25" t="inlineStr">
        <is>
          <t>35</t>
        </is>
      </c>
      <c r="F4" s="25" t="inlineStr">
        <is>
          <t>userId = CurrentUserId</t>
        </is>
      </c>
    </row>
    <row r="5" ht="15" customHeight="1" s="15">
      <c r="A5" s="25" t="n">
        <v>1</v>
      </c>
      <c r="B5" s="25" t="inlineStr">
        <is>
          <t>MyPrograms</t>
        </is>
      </c>
      <c r="C5" s="25" t="n">
        <v>2</v>
      </c>
      <c r="D5" s="25" t="inlineStr">
        <is>
          <t>Decision</t>
        </is>
      </c>
      <c r="E5" s="25" t="inlineStr">
        <is>
          <t>36</t>
        </is>
      </c>
      <c r="F5" s="25" t="inlineStr">
        <is>
          <t>string.IsNullOrEmpty(userId)?</t>
        </is>
      </c>
    </row>
    <row r="6" ht="15" customHeight="1" s="15">
      <c r="A6" s="25" t="n">
        <v>1</v>
      </c>
      <c r="B6" s="25" t="inlineStr">
        <is>
          <t>MyPrograms</t>
        </is>
      </c>
      <c r="C6" s="25" t="n">
        <v>3</v>
      </c>
      <c r="D6" s="25" t="inlineStr">
        <is>
          <t>Return (error / rejected)</t>
        </is>
      </c>
      <c r="E6" s="25" t="inlineStr">
        <is>
          <t>36</t>
        </is>
      </c>
      <c r="F6" s="25" t="inlineStr">
        <is>
          <t>return Unauthorized()</t>
        </is>
      </c>
    </row>
    <row r="7" ht="15" customHeight="1" s="15">
      <c r="A7" s="25" t="n">
        <v>1</v>
      </c>
      <c r="B7" s="25" t="inlineStr">
        <is>
          <t>MyPrograms</t>
        </is>
      </c>
      <c r="C7" s="25" t="n">
        <v>4</v>
      </c>
      <c r="D7" s="25" t="inlineStr">
        <is>
          <t>Process</t>
        </is>
      </c>
      <c r="E7" s="25" t="inlineStr">
        <is>
          <t>38-39</t>
        </is>
      </c>
      <c r="F7" s="25" t="inlineStr">
        <is>
          <t>load user; set ViewBag.OwnerName</t>
        </is>
      </c>
    </row>
    <row r="8" ht="15" customHeight="1" s="15">
      <c r="A8" s="25" t="n">
        <v>1</v>
      </c>
      <c r="B8" s="25" t="inlineStr">
        <is>
          <t>MyPrograms</t>
        </is>
      </c>
      <c r="C8" s="25" t="n">
        <v>5</v>
      </c>
      <c r="D8" s="25" t="inlineStr">
        <is>
          <t>Process</t>
        </is>
      </c>
      <c r="E8" s="25" t="inlineStr">
        <is>
          <t>41-45</t>
        </is>
      </c>
      <c r="F8" s="25" t="inlineStr">
        <is>
          <t>load programs of this owner with counts (ToListWithCountsAsync)</t>
        </is>
      </c>
    </row>
    <row r="9" ht="15" customHeight="1" s="15">
      <c r="A9" s="25" t="n">
        <v>1</v>
      </c>
      <c r="B9" s="25" t="inlineStr">
        <is>
          <t>MyPrograms</t>
        </is>
      </c>
      <c r="C9" s="25" t="n">
        <v>6</v>
      </c>
      <c r="D9" s="25" t="inlineStr">
        <is>
          <t>Return (normal)</t>
        </is>
      </c>
      <c r="E9" s="25" t="inlineStr">
        <is>
          <t>47</t>
        </is>
      </c>
      <c r="F9" s="25" t="inlineStr">
        <is>
          <t>return View(programs)</t>
        </is>
      </c>
    </row>
    <row r="10" ht="15" customHeight="1" s="15">
      <c r="A10" s="25" t="n">
        <v>1</v>
      </c>
      <c r="B10" s="25" t="inlineStr">
        <is>
          <t>Create (POST)</t>
        </is>
      </c>
      <c r="C10" s="25" t="n">
        <v>1</v>
      </c>
      <c r="D10" s="25" t="inlineStr">
        <is>
          <t>Process</t>
        </is>
      </c>
      <c r="E10" s="25" t="inlineStr">
        <is>
          <t>68</t>
        </is>
      </c>
      <c r="F10" s="25" t="inlineStr">
        <is>
          <t>PrepareProgramModelForValidation()</t>
        </is>
      </c>
    </row>
    <row r="11" ht="15" customHeight="1" s="15">
      <c r="A11" s="25" t="n">
        <v>1</v>
      </c>
      <c r="B11" s="25" t="inlineStr">
        <is>
          <t>Create (POST)</t>
        </is>
      </c>
      <c r="C11" s="25" t="n">
        <v>2</v>
      </c>
      <c r="D11" s="25" t="inlineStr">
        <is>
          <t>Decision</t>
        </is>
      </c>
      <c r="E11" s="25" t="inlineStr">
        <is>
          <t>70</t>
        </is>
      </c>
      <c r="F11" s="25" t="inlineStr">
        <is>
          <t>!ModelState.IsValid?</t>
        </is>
      </c>
    </row>
    <row r="12" ht="15" customHeight="1" s="15">
      <c r="A12" s="25" t="n">
        <v>1</v>
      </c>
      <c r="B12" s="25" t="inlineStr">
        <is>
          <t>Create (POST)</t>
        </is>
      </c>
      <c r="C12" s="25" t="n">
        <v>3</v>
      </c>
      <c r="D12" s="25" t="inlineStr">
        <is>
          <t>Return (error / rejected)</t>
        </is>
      </c>
      <c r="E12" s="25" t="inlineStr">
        <is>
          <t>72-73</t>
        </is>
      </c>
      <c r="F12" s="25" t="inlineStr">
        <is>
          <t>ValuesAreUtc = false; return View(form)</t>
        </is>
      </c>
    </row>
    <row r="13" ht="15" customHeight="1" s="15">
      <c r="A13" s="25" t="n">
        <v>1</v>
      </c>
      <c r="B13" s="25" t="inlineStr">
        <is>
          <t>Create (POST)</t>
        </is>
      </c>
      <c r="C13" s="25" t="n">
        <v>4</v>
      </c>
      <c r="D13" s="25" t="inlineStr">
        <is>
          <t>Process</t>
        </is>
      </c>
      <c r="E13" s="25" t="inlineStr">
        <is>
          <t>76</t>
        </is>
      </c>
      <c r="F13" s="25" t="inlineStr">
        <is>
          <t>(success, error) = ValidateAndCreateProgramAsync(model)</t>
        </is>
      </c>
    </row>
    <row r="14" ht="15" customHeight="1" s="15">
      <c r="A14" s="25" t="n">
        <v>1</v>
      </c>
      <c r="B14" s="25" t="inlineStr">
        <is>
          <t>Create (POST)</t>
        </is>
      </c>
      <c r="C14" s="25" t="n">
        <v>5</v>
      </c>
      <c r="D14" s="25" t="inlineStr">
        <is>
          <t>Decision</t>
        </is>
      </c>
      <c r="E14" s="25" t="inlineStr">
        <is>
          <t>78</t>
        </is>
      </c>
      <c r="F14" s="25" t="inlineStr">
        <is>
          <t>!success?</t>
        </is>
      </c>
    </row>
    <row r="15" ht="15" customHeight="1" s="15">
      <c r="A15" s="25" t="n">
        <v>1</v>
      </c>
      <c r="B15" s="25" t="inlineStr">
        <is>
          <t>Create (POST)</t>
        </is>
      </c>
      <c r="C15" s="25" t="n">
        <v>6</v>
      </c>
      <c r="D15" s="25" t="inlineStr">
        <is>
          <t>Decision</t>
        </is>
      </c>
      <c r="E15" s="25" t="inlineStr">
        <is>
          <t>80</t>
        </is>
      </c>
      <c r="F15" s="25" t="inlineStr">
        <is>
          <t>errorMessage != null?</t>
        </is>
      </c>
    </row>
    <row r="16" ht="15" customHeight="1" s="15">
      <c r="A16" s="25" t="n">
        <v>1</v>
      </c>
      <c r="B16" s="25" t="inlineStr">
        <is>
          <t>Create (POST)</t>
        </is>
      </c>
      <c r="C16" s="25" t="n">
        <v>7</v>
      </c>
      <c r="D16" s="25" t="inlineStr">
        <is>
          <t>Process</t>
        </is>
      </c>
      <c r="E16" s="25" t="inlineStr">
        <is>
          <t>81</t>
        </is>
      </c>
      <c r="F16" s="25" t="inlineStr">
        <is>
          <t>ModelState.AddModelError(error)</t>
        </is>
      </c>
    </row>
    <row r="17" ht="15" customHeight="1" s="15">
      <c r="A17" s="25" t="n">
        <v>1</v>
      </c>
      <c r="B17" s="25" t="inlineStr">
        <is>
          <t>Create (POST)</t>
        </is>
      </c>
      <c r="C17" s="25" t="n">
        <v>8</v>
      </c>
      <c r="D17" s="25" t="inlineStr">
        <is>
          <t>Return (error / rejected)</t>
        </is>
      </c>
      <c r="E17" s="25" t="inlineStr">
        <is>
          <t>82</t>
        </is>
      </c>
      <c r="F17" s="25" t="inlineStr">
        <is>
          <t>return View(form)</t>
        </is>
      </c>
    </row>
    <row r="18" ht="15" customHeight="1" s="15">
      <c r="A18" s="25" t="n">
        <v>1</v>
      </c>
      <c r="B18" s="25" t="inlineStr">
        <is>
          <t>Create (POST)</t>
        </is>
      </c>
      <c r="C18" s="25" t="n">
        <v>9</v>
      </c>
      <c r="D18" s="25" t="inlineStr">
        <is>
          <t>Decision</t>
        </is>
      </c>
      <c r="E18" s="25" t="inlineStr">
        <is>
          <t>85</t>
        </is>
      </c>
      <c r="F18" s="25" t="inlineStr">
        <is>
          <t>model.IsPublished?</t>
        </is>
      </c>
    </row>
    <row r="19" ht="15" customHeight="1" s="15">
      <c r="A19" s="25" t="n">
        <v>1</v>
      </c>
      <c r="B19" s="25" t="inlineStr">
        <is>
          <t>Create (POST)</t>
        </is>
      </c>
      <c r="C19" s="25" t="n">
        <v>10</v>
      </c>
      <c r="D19" s="25" t="inlineStr">
        <is>
          <t>Process</t>
        </is>
      </c>
      <c r="E19" s="25" t="inlineStr">
        <is>
          <t>86</t>
        </is>
      </c>
      <c r="F19" s="25" t="inlineStr">
        <is>
          <t>TempData[PublishedLink] = Url.Action(Vote)</t>
        </is>
      </c>
    </row>
    <row r="20" ht="15" customHeight="1" s="15">
      <c r="A20" s="25" t="n">
        <v>1</v>
      </c>
      <c r="B20" s="25" t="inlineStr">
        <is>
          <t>Create (POST)</t>
        </is>
      </c>
      <c r="C20" s="25" t="n">
        <v>11</v>
      </c>
      <c r="D20" s="25" t="inlineStr">
        <is>
          <t>Return (normal)</t>
        </is>
      </c>
      <c r="E20" s="25" t="inlineStr">
        <is>
          <t>88-89</t>
        </is>
      </c>
      <c r="F20" s="25" t="inlineStr">
        <is>
          <t>TempData[Success]; return RedirectToAction(MyPrograms)</t>
        </is>
      </c>
    </row>
    <row r="21" ht="15" customHeight="1" s="15">
      <c r="A21" s="25" t="n">
        <v>1</v>
      </c>
      <c r="B21" s="25" t="inlineStr">
        <is>
          <t>Edit (GET)</t>
        </is>
      </c>
      <c r="C21" s="25" t="n">
        <v>1</v>
      </c>
      <c r="D21" s="25" t="inlineStr">
        <is>
          <t>Process</t>
        </is>
      </c>
      <c r="E21" s="25" t="inlineStr">
        <is>
          <t>97-99</t>
        </is>
      </c>
      <c r="F21" s="25" t="inlineStr">
        <is>
          <t>program = query by id (AsNoTracking)</t>
        </is>
      </c>
    </row>
    <row r="22" ht="15" customHeight="1" s="15">
      <c r="A22" s="25" t="n">
        <v>1</v>
      </c>
      <c r="B22" s="25" t="inlineStr">
        <is>
          <t>Edit (GET)</t>
        </is>
      </c>
      <c r="C22" s="25" t="n">
        <v>2</v>
      </c>
      <c r="D22" s="25" t="inlineStr">
        <is>
          <t>Decision</t>
        </is>
      </c>
      <c r="E22" s="25" t="inlineStr">
        <is>
          <t>101</t>
        </is>
      </c>
      <c r="F22" s="25" t="inlineStr">
        <is>
          <t>program is null?</t>
        </is>
      </c>
    </row>
    <row r="23" ht="15" customHeight="1" s="15">
      <c r="A23" s="25" t="n">
        <v>1</v>
      </c>
      <c r="B23" s="25" t="inlineStr">
        <is>
          <t>Edit (GET)</t>
        </is>
      </c>
      <c r="C23" s="25" t="n">
        <v>3</v>
      </c>
      <c r="D23" s="25" t="inlineStr">
        <is>
          <t>Return (error / rejected)</t>
        </is>
      </c>
      <c r="E23" s="25" t="inlineStr">
        <is>
          <t>101</t>
        </is>
      </c>
      <c r="F23" s="25" t="inlineStr">
        <is>
          <t>return NotFound()</t>
        </is>
      </c>
    </row>
    <row r="24" ht="15" customHeight="1" s="15">
      <c r="A24" s="25" t="n">
        <v>1</v>
      </c>
      <c r="B24" s="25" t="inlineStr">
        <is>
          <t>Edit (GET)</t>
        </is>
      </c>
      <c r="C24" s="25" t="n">
        <v>4</v>
      </c>
      <c r="D24" s="25" t="inlineStr">
        <is>
          <t>Decision</t>
        </is>
      </c>
      <c r="E24" s="25" t="inlineStr">
        <is>
          <t>103</t>
        </is>
      </c>
      <c r="F24" s="25" t="inlineStr">
        <is>
          <t>program.OwnerId != CurrentUserId?</t>
        </is>
      </c>
    </row>
    <row r="25" ht="15" customHeight="1" s="15">
      <c r="A25" s="25" t="n">
        <v>1</v>
      </c>
      <c r="B25" s="25" t="inlineStr">
        <is>
          <t>Edit (GET)</t>
        </is>
      </c>
      <c r="C25" s="25" t="n">
        <v>5</v>
      </c>
      <c r="D25" s="25" t="inlineStr">
        <is>
          <t>Decision</t>
        </is>
      </c>
      <c r="E25" s="25" t="inlineStr">
        <is>
          <t>103</t>
        </is>
      </c>
      <c r="F25" s="25" t="inlineStr">
        <is>
          <t>!User.IsInRole(Admin)?  (&amp;&amp;)</t>
        </is>
      </c>
    </row>
    <row r="26" ht="15" customHeight="1" s="15">
      <c r="A26" s="25" t="n">
        <v>1</v>
      </c>
      <c r="B26" s="25" t="inlineStr">
        <is>
          <t>Edit (GET)</t>
        </is>
      </c>
      <c r="C26" s="25" t="n">
        <v>6</v>
      </c>
      <c r="D26" s="25" t="inlineStr">
        <is>
          <t>Return (error / rejected)</t>
        </is>
      </c>
      <c r="E26" s="25" t="inlineStr">
        <is>
          <t>104</t>
        </is>
      </c>
      <c r="F26" s="25" t="inlineStr">
        <is>
          <t>return Forbid()</t>
        </is>
      </c>
    </row>
    <row r="27" ht="15" customHeight="1" s="15">
      <c r="A27" s="25" t="n">
        <v>1</v>
      </c>
      <c r="B27" s="25" t="inlineStr">
        <is>
          <t>Edit (GET)</t>
        </is>
      </c>
      <c r="C27" s="25" t="n">
        <v>7</v>
      </c>
      <c r="D27" s="25" t="inlineStr">
        <is>
          <t>Process</t>
        </is>
      </c>
      <c r="E27" s="25" t="inlineStr">
        <is>
          <t>106-108</t>
        </is>
      </c>
      <c r="F27" s="25" t="inlineStr">
        <is>
          <t>SpecifyKind(UTC) on Start/End; ValuesAreUtc = true</t>
        </is>
      </c>
    </row>
    <row r="28" ht="15" customHeight="1" s="15">
      <c r="A28" s="25" t="n">
        <v>1</v>
      </c>
      <c r="B28" s="25" t="inlineStr">
        <is>
          <t>Edit (GET)</t>
        </is>
      </c>
      <c r="C28" s="25" t="n">
        <v>8</v>
      </c>
      <c r="D28" s="25" t="inlineStr">
        <is>
          <t>Return (normal)</t>
        </is>
      </c>
      <c r="E28" s="25" t="inlineStr">
        <is>
          <t>110</t>
        </is>
      </c>
      <c r="F28" s="25" t="inlineStr">
        <is>
          <t>return View(form, program)</t>
        </is>
      </c>
    </row>
    <row r="29" ht="15" customHeight="1" s="15">
      <c r="A29" s="25" t="n">
        <v>1</v>
      </c>
      <c r="B29" s="25" t="inlineStr">
        <is>
          <t>Edit (POST)</t>
        </is>
      </c>
      <c r="C29" s="25" t="n">
        <v>1</v>
      </c>
      <c r="D29" s="25" t="inlineStr">
        <is>
          <t>Decision</t>
        </is>
      </c>
      <c r="E29" s="25" t="inlineStr">
        <is>
          <t>118</t>
        </is>
      </c>
      <c r="F29" s="25" t="inlineStr">
        <is>
          <t>id != model.Id?</t>
        </is>
      </c>
    </row>
    <row r="30" ht="15" customHeight="1" s="15">
      <c r="A30" s="25" t="n">
        <v>1</v>
      </c>
      <c r="B30" s="25" t="inlineStr">
        <is>
          <t>Edit (POST)</t>
        </is>
      </c>
      <c r="C30" s="25" t="n">
        <v>2</v>
      </c>
      <c r="D30" s="25" t="inlineStr">
        <is>
          <t>Return (error / rejected)</t>
        </is>
      </c>
      <c r="E30" s="25" t="inlineStr">
        <is>
          <t>118</t>
        </is>
      </c>
      <c r="F30" s="25" t="inlineStr">
        <is>
          <t>return NotFound()</t>
        </is>
      </c>
    </row>
    <row r="31" ht="15" customHeight="1" s="15">
      <c r="A31" s="25" t="n">
        <v>1</v>
      </c>
      <c r="B31" s="25" t="inlineStr">
        <is>
          <t>Edit (POST)</t>
        </is>
      </c>
      <c r="C31" s="25" t="n">
        <v>3</v>
      </c>
      <c r="D31" s="25" t="inlineStr">
        <is>
          <t>Process</t>
        </is>
      </c>
      <c r="E31" s="25" t="inlineStr">
        <is>
          <t>120</t>
        </is>
      </c>
      <c r="F31" s="25" t="inlineStr">
        <is>
          <t>PrepareProgramModelForValidation()</t>
        </is>
      </c>
    </row>
    <row r="32" ht="15" customHeight="1" s="15">
      <c r="A32" s="25" t="n">
        <v>1</v>
      </c>
      <c r="B32" s="25" t="inlineStr">
        <is>
          <t>Edit (POST)</t>
        </is>
      </c>
      <c r="C32" s="25" t="n">
        <v>4</v>
      </c>
      <c r="D32" s="25" t="inlineStr">
        <is>
          <t>Decision</t>
        </is>
      </c>
      <c r="E32" s="25" t="inlineStr">
        <is>
          <t>122</t>
        </is>
      </c>
      <c r="F32" s="25" t="inlineStr">
        <is>
          <t>!ModelState.IsValid?</t>
        </is>
      </c>
    </row>
    <row r="33" ht="15" customHeight="1" s="15">
      <c r="A33" s="25" t="n">
        <v>1</v>
      </c>
      <c r="B33" s="25" t="inlineStr">
        <is>
          <t>Edit (POST)</t>
        </is>
      </c>
      <c r="C33" s="25" t="n">
        <v>5</v>
      </c>
      <c r="D33" s="25" t="inlineStr">
        <is>
          <t>Return (error / rejected)</t>
        </is>
      </c>
      <c r="E33" s="25" t="inlineStr">
        <is>
          <t>123</t>
        </is>
      </c>
      <c r="F33" s="25" t="inlineStr">
        <is>
          <t>return View(form)</t>
        </is>
      </c>
    </row>
    <row r="34" ht="15" customHeight="1" s="15">
      <c r="A34" s="25" t="n">
        <v>1</v>
      </c>
      <c r="B34" s="25" t="inlineStr">
        <is>
          <t>Edit (POST)</t>
        </is>
      </c>
      <c r="C34" s="25" t="n">
        <v>6</v>
      </c>
      <c r="D34" s="25" t="inlineStr">
        <is>
          <t>Process</t>
        </is>
      </c>
      <c r="E34" s="25" t="inlineStr">
        <is>
          <t>125</t>
        </is>
      </c>
      <c r="F34" s="25" t="inlineStr">
        <is>
          <t>(success, error) = ValidateAndUpdateProgramAsync(id, model)</t>
        </is>
      </c>
    </row>
    <row r="35" ht="15" customHeight="1" s="15">
      <c r="A35" s="25" t="n">
        <v>1</v>
      </c>
      <c r="B35" s="25" t="inlineStr">
        <is>
          <t>Edit (POST)</t>
        </is>
      </c>
      <c r="C35" s="25" t="n">
        <v>7</v>
      </c>
      <c r="D35" s="25" t="inlineStr">
        <is>
          <t>Decision</t>
        </is>
      </c>
      <c r="E35" s="25" t="inlineStr">
        <is>
          <t>127</t>
        </is>
      </c>
      <c r="F35" s="25" t="inlineStr">
        <is>
          <t>!success?</t>
        </is>
      </c>
    </row>
    <row r="36" ht="15" customHeight="1" s="15">
      <c r="A36" s="25" t="n">
        <v>1</v>
      </c>
      <c r="B36" s="25" t="inlineStr">
        <is>
          <t>Edit (POST)</t>
        </is>
      </c>
      <c r="C36" s="25" t="n">
        <v>8</v>
      </c>
      <c r="D36" s="25" t="inlineStr">
        <is>
          <t>Decision</t>
        </is>
      </c>
      <c r="E36" s="25" t="inlineStr">
        <is>
          <t>129</t>
        </is>
      </c>
      <c r="F36" s="25" t="inlineStr">
        <is>
          <t>errorMessage != null?</t>
        </is>
      </c>
    </row>
    <row r="37" ht="15" customHeight="1" s="15">
      <c r="A37" s="25" t="n">
        <v>1</v>
      </c>
      <c r="B37" s="25" t="inlineStr">
        <is>
          <t>Edit (POST)</t>
        </is>
      </c>
      <c r="C37" s="25" t="n">
        <v>9</v>
      </c>
      <c r="D37" s="25" t="inlineStr">
        <is>
          <t>Process</t>
        </is>
      </c>
      <c r="E37" s="25" t="inlineStr">
        <is>
          <t>130</t>
        </is>
      </c>
      <c r="F37" s="25" t="inlineStr">
        <is>
          <t>ModelState.AddModelError(error)</t>
        </is>
      </c>
    </row>
    <row r="38" ht="15" customHeight="1" s="15">
      <c r="A38" s="25" t="n">
        <v>1</v>
      </c>
      <c r="B38" s="25" t="inlineStr">
        <is>
          <t>Edit (POST)</t>
        </is>
      </c>
      <c r="C38" s="25" t="n">
        <v>10</v>
      </c>
      <c r="D38" s="25" t="inlineStr">
        <is>
          <t>Return (error / rejected)</t>
        </is>
      </c>
      <c r="E38" s="25" t="inlineStr">
        <is>
          <t>131</t>
        </is>
      </c>
      <c r="F38" s="25" t="inlineStr">
        <is>
          <t>return View(form)</t>
        </is>
      </c>
    </row>
    <row r="39" ht="15" customHeight="1" s="15">
      <c r="A39" s="25" t="n">
        <v>1</v>
      </c>
      <c r="B39" s="25" t="inlineStr">
        <is>
          <t>Edit (POST)</t>
        </is>
      </c>
      <c r="C39" s="25" t="n">
        <v>11</v>
      </c>
      <c r="D39" s="25" t="inlineStr">
        <is>
          <t>Decision</t>
        </is>
      </c>
      <c r="E39" s="25" t="inlineStr">
        <is>
          <t>134</t>
        </is>
      </c>
      <c r="F39" s="25" t="inlineStr">
        <is>
          <t>model.IsPublished?</t>
        </is>
      </c>
    </row>
    <row r="40" ht="15" customHeight="1" s="15">
      <c r="A40" s="25" t="n">
        <v>1</v>
      </c>
      <c r="B40" s="25" t="inlineStr">
        <is>
          <t>Edit (POST)</t>
        </is>
      </c>
      <c r="C40" s="25" t="n">
        <v>12</v>
      </c>
      <c r="D40" s="25" t="inlineStr">
        <is>
          <t>Process</t>
        </is>
      </c>
      <c r="E40" s="25" t="inlineStr">
        <is>
          <t>135</t>
        </is>
      </c>
      <c r="F40" s="25" t="inlineStr">
        <is>
          <t>TempData[PublishedLink] = Url.Action(Vote)</t>
        </is>
      </c>
    </row>
    <row r="41" ht="15" customHeight="1" s="15">
      <c r="A41" s="25" t="n">
        <v>1</v>
      </c>
      <c r="B41" s="25" t="inlineStr">
        <is>
          <t>Edit (POST)</t>
        </is>
      </c>
      <c r="C41" s="25" t="n">
        <v>13</v>
      </c>
      <c r="D41" s="25" t="inlineStr">
        <is>
          <t>Return (normal)</t>
        </is>
      </c>
      <c r="E41" s="25" t="inlineStr">
        <is>
          <t>137-138</t>
        </is>
      </c>
      <c r="F41" s="25" t="inlineStr">
        <is>
          <t>TempData[Success]; return RedirectToAction(MyPrograms)</t>
        </is>
      </c>
    </row>
    <row r="42" ht="15" customHeight="1" s="15">
      <c r="A42" s="25" t="n">
        <v>1</v>
      </c>
      <c r="B42" s="25" t="inlineStr">
        <is>
          <t>ManageCandidates (GET)</t>
        </is>
      </c>
      <c r="C42" s="25" t="n">
        <v>1</v>
      </c>
      <c r="D42" s="25" t="inlineStr">
        <is>
          <t>Process</t>
        </is>
      </c>
      <c r="E42" s="25" t="inlineStr">
        <is>
          <t>145</t>
        </is>
      </c>
      <c r="F42" s="25" t="inlineStr">
        <is>
          <t>program = GetProgramWithCandidatesAsync(programId)</t>
        </is>
      </c>
    </row>
    <row r="43" ht="15" customHeight="1" s="15">
      <c r="A43" s="25" t="n">
        <v>1</v>
      </c>
      <c r="B43" s="25" t="inlineStr">
        <is>
          <t>ManageCandidates (GET)</t>
        </is>
      </c>
      <c r="C43" s="25" t="n">
        <v>2</v>
      </c>
      <c r="D43" s="25" t="inlineStr">
        <is>
          <t>Decision</t>
        </is>
      </c>
      <c r="E43" s="25" t="inlineStr">
        <is>
          <t>146</t>
        </is>
      </c>
      <c r="F43" s="25" t="inlineStr">
        <is>
          <t>program is null?</t>
        </is>
      </c>
    </row>
    <row r="44" ht="15" customHeight="1" s="15">
      <c r="A44" s="25" t="n">
        <v>1</v>
      </c>
      <c r="B44" s="25" t="inlineStr">
        <is>
          <t>ManageCandidates (GET)</t>
        </is>
      </c>
      <c r="C44" s="25" t="n">
        <v>3</v>
      </c>
      <c r="D44" s="25" t="inlineStr">
        <is>
          <t>Return (error / rejected)</t>
        </is>
      </c>
      <c r="E44" s="25" t="inlineStr">
        <is>
          <t>146</t>
        </is>
      </c>
      <c r="F44" s="25" t="inlineStr">
        <is>
          <t>return NotFound()</t>
        </is>
      </c>
    </row>
    <row r="45" ht="15" customHeight="1" s="15">
      <c r="A45" s="25" t="n">
        <v>1</v>
      </c>
      <c r="B45" s="25" t="inlineStr">
        <is>
          <t>ManageCandidates (GET)</t>
        </is>
      </c>
      <c r="C45" s="25" t="n">
        <v>4</v>
      </c>
      <c r="D45" s="25" t="inlineStr">
        <is>
          <t>Decision</t>
        </is>
      </c>
      <c r="E45" s="25" t="inlineStr">
        <is>
          <t>148</t>
        </is>
      </c>
      <c r="F45" s="25" t="inlineStr">
        <is>
          <t>program.OwnerId != CurrentUserId?</t>
        </is>
      </c>
    </row>
    <row r="46" ht="15" customHeight="1" s="15">
      <c r="A46" s="25" t="n">
        <v>1</v>
      </c>
      <c r="B46" s="25" t="inlineStr">
        <is>
          <t>ManageCandidates (GET)</t>
        </is>
      </c>
      <c r="C46" s="25" t="n">
        <v>5</v>
      </c>
      <c r="D46" s="25" t="inlineStr">
        <is>
          <t>Decision</t>
        </is>
      </c>
      <c r="E46" s="25" t="inlineStr">
        <is>
          <t>148</t>
        </is>
      </c>
      <c r="F46" s="25" t="inlineStr">
        <is>
          <t>!User.IsInRole(Admin)?  (&amp;&amp;)</t>
        </is>
      </c>
    </row>
    <row r="47" ht="15" customHeight="1" s="15">
      <c r="A47" s="25" t="n">
        <v>1</v>
      </c>
      <c r="B47" s="25" t="inlineStr">
        <is>
          <t>ManageCandidates (GET)</t>
        </is>
      </c>
      <c r="C47" s="25" t="n">
        <v>6</v>
      </c>
      <c r="D47" s="25" t="inlineStr">
        <is>
          <t>Return (error / rejected)</t>
        </is>
      </c>
      <c r="E47" s="25" t="inlineStr">
        <is>
          <t>149</t>
        </is>
      </c>
      <c r="F47" s="25" t="inlineStr">
        <is>
          <t>return Forbid()</t>
        </is>
      </c>
    </row>
    <row r="48" ht="15" customHeight="1" s="15">
      <c r="A48" s="25" t="n">
        <v>1</v>
      </c>
      <c r="B48" s="25" t="inlineStr">
        <is>
          <t>ManageCandidates (GET)</t>
        </is>
      </c>
      <c r="C48" s="25" t="n">
        <v>7</v>
      </c>
      <c r="D48" s="25" t="inlineStr">
        <is>
          <t>Process</t>
        </is>
      </c>
      <c r="E48" s="25" t="inlineStr">
        <is>
          <t>151</t>
        </is>
      </c>
      <c r="F48" s="25" t="inlineStr">
        <is>
          <t>program.LoadedVoteCount = Votes.CountAsync(programId)</t>
        </is>
      </c>
    </row>
    <row r="49" ht="15" customHeight="1" s="15">
      <c r="A49" s="25" t="n">
        <v>1</v>
      </c>
      <c r="B49" s="25" t="inlineStr">
        <is>
          <t>ManageCandidates (GET)</t>
        </is>
      </c>
      <c r="C49" s="25" t="n">
        <v>8</v>
      </c>
      <c r="D49" s="25" t="inlineStr">
        <is>
          <t>Process</t>
        </is>
      </c>
      <c r="E49" s="25" t="inlineStr">
        <is>
          <t>152</t>
        </is>
      </c>
      <c r="F49" s="25" t="inlineStr">
        <is>
          <t>ViewBag.Program = program</t>
        </is>
      </c>
    </row>
    <row r="50" ht="15" customHeight="1" s="15">
      <c r="A50" s="25" t="n">
        <v>1</v>
      </c>
      <c r="B50" s="25" t="inlineStr">
        <is>
          <t>ManageCandidates (GET)</t>
        </is>
      </c>
      <c r="C50" s="25" t="n">
        <v>9</v>
      </c>
      <c r="D50" s="25" t="inlineStr">
        <is>
          <t>Return (normal)</t>
        </is>
      </c>
      <c r="E50" s="25" t="inlineStr">
        <is>
          <t>154</t>
        </is>
      </c>
      <c r="F50" s="25" t="inlineStr">
        <is>
          <t>return View(ManageCandidatesView, program.Candidates)</t>
        </is>
      </c>
    </row>
    <row r="51" ht="15" customHeight="1" s="15">
      <c r="A51" s="25" t="n">
        <v>1</v>
      </c>
      <c r="B51" s="25" t="inlineStr">
        <is>
          <t>AddCandidate (POST)</t>
        </is>
      </c>
      <c r="C51" s="25" t="n">
        <v>1</v>
      </c>
      <c r="D51" s="25" t="inlineStr">
        <is>
          <t>Decision</t>
        </is>
      </c>
      <c r="E51" s="25" t="inlineStr">
        <is>
          <t>164</t>
        </is>
      </c>
      <c r="F51" s="25" t="inlineStr">
        <is>
          <t>IsNullOrWhiteSpace(name)?</t>
        </is>
      </c>
    </row>
    <row r="52" ht="15" customHeight="1" s="15">
      <c r="A52" s="25" t="n">
        <v>1</v>
      </c>
      <c r="B52" s="25" t="inlineStr">
        <is>
          <t>AddCandidate (POST)</t>
        </is>
      </c>
      <c r="C52" s="25" t="n">
        <v>2</v>
      </c>
      <c r="D52" s="25" t="inlineStr">
        <is>
          <t>Decision</t>
        </is>
      </c>
      <c r="E52" s="25" t="inlineStr">
        <is>
          <t>164</t>
        </is>
      </c>
      <c r="F52" s="25" t="inlineStr">
        <is>
          <t>IsNullOrWhiteSpace(candidateCode)?  (||)</t>
        </is>
      </c>
    </row>
    <row r="53" ht="15" customHeight="1" s="15">
      <c r="A53" s="25" t="n">
        <v>1</v>
      </c>
      <c r="B53" s="25" t="inlineStr">
        <is>
          <t>AddCandidate (POST)</t>
        </is>
      </c>
      <c r="C53" s="25" t="n">
        <v>3</v>
      </c>
      <c r="D53" s="25" t="inlineStr">
        <is>
          <t>Return (error / rejected)</t>
        </is>
      </c>
      <c r="E53" s="25" t="inlineStr">
        <is>
          <t>166-167</t>
        </is>
      </c>
      <c r="F53" s="25" t="inlineStr">
        <is>
          <t>TempData[Error]=required; return Redirect(ManageCandidates)</t>
        </is>
      </c>
    </row>
    <row r="54" ht="15" customHeight="1" s="15">
      <c r="A54" s="25" t="n">
        <v>1</v>
      </c>
      <c r="B54" s="25" t="inlineStr">
        <is>
          <t>AddCandidate (POST)</t>
        </is>
      </c>
      <c r="C54" s="25" t="n">
        <v>4</v>
      </c>
      <c r="D54" s="25" t="inlineStr">
        <is>
          <t>Process</t>
        </is>
      </c>
      <c r="E54" s="25" t="inlineStr">
        <is>
          <t>170</t>
        </is>
      </c>
      <c r="F54" s="25" t="inlineStr">
        <is>
          <t>name = name.Trim()</t>
        </is>
      </c>
    </row>
    <row r="55" ht="15" customHeight="1" s="15">
      <c r="A55" s="25" t="n">
        <v>1</v>
      </c>
      <c r="B55" s="25" t="inlineStr">
        <is>
          <t>AddCandidate (POST)</t>
        </is>
      </c>
      <c r="C55" s="25" t="n">
        <v>5</v>
      </c>
      <c r="D55" s="25" t="inlineStr">
        <is>
          <t>Decision</t>
        </is>
      </c>
      <c r="E55" s="25" t="inlineStr">
        <is>
          <t>171</t>
        </is>
      </c>
      <c r="F55" s="25" t="inlineStr">
        <is>
          <t>name.Length &lt; 2?</t>
        </is>
      </c>
    </row>
    <row r="56" ht="15" customHeight="1" s="15">
      <c r="A56" s="25" t="n">
        <v>1</v>
      </c>
      <c r="B56" s="25" t="inlineStr">
        <is>
          <t>AddCandidate (POST)</t>
        </is>
      </c>
      <c r="C56" s="25" t="n">
        <v>6</v>
      </c>
      <c r="D56" s="25" t="inlineStr">
        <is>
          <t>Decision</t>
        </is>
      </c>
      <c r="E56" s="25" t="inlineStr">
        <is>
          <t>171</t>
        </is>
      </c>
      <c r="F56" s="25" t="inlineStr">
        <is>
          <t>name.Length &gt; 150?  (||)</t>
        </is>
      </c>
    </row>
    <row r="57" ht="15" customHeight="1" s="15">
      <c r="A57" s="25" t="n">
        <v>1</v>
      </c>
      <c r="B57" s="25" t="inlineStr">
        <is>
          <t>AddCandidate (POST)</t>
        </is>
      </c>
      <c r="C57" s="25" t="n">
        <v>7</v>
      </c>
      <c r="D57" s="25" t="inlineStr">
        <is>
          <t>Return (error / rejected)</t>
        </is>
      </c>
      <c r="E57" s="25" t="inlineStr">
        <is>
          <t>173-174</t>
        </is>
      </c>
      <c r="F57" s="25" t="inlineStr">
        <is>
          <t>TempData[Error]=name length; return Redirect(ManageCandidates)</t>
        </is>
      </c>
    </row>
    <row r="58" ht="15" customHeight="1" s="15">
      <c r="A58" s="25" t="n">
        <v>1</v>
      </c>
      <c r="B58" s="25" t="inlineStr">
        <is>
          <t>AddCandidate (POST)</t>
        </is>
      </c>
      <c r="C58" s="25" t="n">
        <v>8</v>
      </c>
      <c r="D58" s="25" t="inlineStr">
        <is>
          <t>Process</t>
        </is>
      </c>
      <c r="E58" s="25" t="inlineStr">
        <is>
          <t>177</t>
        </is>
      </c>
      <c r="F58" s="25" t="inlineStr">
        <is>
          <t>candidateCode = candidateCode.Trim()</t>
        </is>
      </c>
    </row>
    <row r="59" ht="15" customHeight="1" s="15">
      <c r="A59" s="25" t="n">
        <v>1</v>
      </c>
      <c r="B59" s="25" t="inlineStr">
        <is>
          <t>AddCandidate (POST)</t>
        </is>
      </c>
      <c r="C59" s="25" t="n">
        <v>9</v>
      </c>
      <c r="D59" s="25" t="inlineStr">
        <is>
          <t>Decision</t>
        </is>
      </c>
      <c r="E59" s="25" t="inlineStr">
        <is>
          <t>178</t>
        </is>
      </c>
      <c r="F59" s="25" t="inlineStr">
        <is>
          <t>IsNullOrWhiteSpace(description)?  (?:)</t>
        </is>
      </c>
    </row>
    <row r="60" ht="15" customHeight="1" s="15">
      <c r="A60" s="25" t="n">
        <v>1</v>
      </c>
      <c r="B60" s="25" t="inlineStr">
        <is>
          <t>AddCandidate (POST)</t>
        </is>
      </c>
      <c r="C60" s="25" t="n">
        <v>10</v>
      </c>
      <c r="D60" s="25" t="inlineStr">
        <is>
          <t>Process</t>
        </is>
      </c>
      <c r="E60" s="25" t="inlineStr">
        <is>
          <t>178</t>
        </is>
      </c>
      <c r="F60" s="25" t="inlineStr">
        <is>
          <t>description = null : description.Trim()</t>
        </is>
      </c>
    </row>
    <row r="61" ht="15" customHeight="1" s="15">
      <c r="A61" s="25" t="n">
        <v>1</v>
      </c>
      <c r="B61" s="25" t="inlineStr">
        <is>
          <t>AddCandidate (POST)</t>
        </is>
      </c>
      <c r="C61" s="25" t="n">
        <v>11</v>
      </c>
      <c r="D61" s="25" t="inlineStr">
        <is>
          <t>Decision</t>
        </is>
      </c>
      <c r="E61" s="25" t="inlineStr">
        <is>
          <t>179</t>
        </is>
      </c>
      <c r="F61" s="25" t="inlineStr">
        <is>
          <t>candidateCode.Length &gt; 50?</t>
        </is>
      </c>
    </row>
    <row r="62" ht="15" customHeight="1" s="15">
      <c r="A62" s="25" t="n">
        <v>1</v>
      </c>
      <c r="B62" s="25" t="inlineStr">
        <is>
          <t>AddCandidate (POST)</t>
        </is>
      </c>
      <c r="C62" s="25" t="n">
        <v>12</v>
      </c>
      <c r="D62" s="25" t="inlineStr">
        <is>
          <t>Decision</t>
        </is>
      </c>
      <c r="E62" s="25" t="inlineStr">
        <is>
          <t>179</t>
        </is>
      </c>
      <c r="F62" s="25" t="inlineStr">
        <is>
          <t>description?.Length &gt; 500?  (||)</t>
        </is>
      </c>
    </row>
    <row r="63" ht="15" customHeight="1" s="15">
      <c r="A63" s="25" t="n">
        <v>1</v>
      </c>
      <c r="B63" s="25" t="inlineStr">
        <is>
          <t>AddCandidate (POST)</t>
        </is>
      </c>
      <c r="C63" s="25" t="n">
        <v>13</v>
      </c>
      <c r="D63" s="25" t="inlineStr">
        <is>
          <t>Decision</t>
        </is>
      </c>
      <c r="E63" s="25" t="inlineStr">
        <is>
          <t>179</t>
        </is>
      </c>
      <c r="F63" s="25" t="inlineStr">
        <is>
          <t>imageUrl?.Trim().Length &gt; 500?  (||)</t>
        </is>
      </c>
    </row>
    <row r="64" ht="15" customHeight="1" s="15">
      <c r="A64" s="25" t="n">
        <v>1</v>
      </c>
      <c r="B64" s="25" t="inlineStr">
        <is>
          <t>AddCandidate (POST)</t>
        </is>
      </c>
      <c r="C64" s="25" t="n">
        <v>14</v>
      </c>
      <c r="D64" s="25" t="inlineStr">
        <is>
          <t>Return (error / rejected)</t>
        </is>
      </c>
      <c r="E64" s="25" t="inlineStr">
        <is>
          <t>181-182</t>
        </is>
      </c>
      <c r="F64" s="25" t="inlineStr">
        <is>
          <t>TempData[Error]=max length; return Redirect(ManageCandidates)</t>
        </is>
      </c>
    </row>
    <row r="65" ht="15" customHeight="1" s="15">
      <c r="A65" s="25" t="n">
        <v>1</v>
      </c>
      <c r="B65" s="25" t="inlineStr">
        <is>
          <t>AddCandidate (POST)</t>
        </is>
      </c>
      <c r="C65" s="25" t="n">
        <v>15</v>
      </c>
      <c r="D65" s="25" t="inlineStr">
        <is>
          <t>Process</t>
        </is>
      </c>
      <c r="E65" s="25" t="inlineStr">
        <is>
          <t>185</t>
        </is>
      </c>
      <c r="F65" s="25" t="inlineStr">
        <is>
          <t>program = Programs.FindAsync(programId)</t>
        </is>
      </c>
    </row>
    <row r="66" ht="15" customHeight="1" s="15">
      <c r="A66" s="25" t="n">
        <v>1</v>
      </c>
      <c r="B66" s="25" t="inlineStr">
        <is>
          <t>AddCandidate (POST)</t>
        </is>
      </c>
      <c r="C66" s="25" t="n">
        <v>16</v>
      </c>
      <c r="D66" s="25" t="inlineStr">
        <is>
          <t>Decision</t>
        </is>
      </c>
      <c r="E66" s="25" t="inlineStr">
        <is>
          <t>186</t>
        </is>
      </c>
      <c r="F66" s="25" t="inlineStr">
        <is>
          <t>program is null?</t>
        </is>
      </c>
    </row>
    <row r="67" ht="15" customHeight="1" s="15">
      <c r="A67" s="25" t="n">
        <v>1</v>
      </c>
      <c r="B67" s="25" t="inlineStr">
        <is>
          <t>AddCandidate (POST)</t>
        </is>
      </c>
      <c r="C67" s="25" t="n">
        <v>17</v>
      </c>
      <c r="D67" s="25" t="inlineStr">
        <is>
          <t>Return (error / rejected)</t>
        </is>
      </c>
      <c r="E67" s="25" t="inlineStr">
        <is>
          <t>186</t>
        </is>
      </c>
      <c r="F67" s="25" t="inlineStr">
        <is>
          <t>return NotFound()</t>
        </is>
      </c>
    </row>
    <row r="68" ht="15" customHeight="1" s="15">
      <c r="A68" s="25" t="n">
        <v>1</v>
      </c>
      <c r="B68" s="25" t="inlineStr">
        <is>
          <t>AddCandidate (POST)</t>
        </is>
      </c>
      <c r="C68" s="25" t="n">
        <v>18</v>
      </c>
      <c r="D68" s="25" t="inlineStr">
        <is>
          <t>Decision</t>
        </is>
      </c>
      <c r="E68" s="25" t="inlineStr">
        <is>
          <t>188</t>
        </is>
      </c>
      <c r="F68" s="25" t="inlineStr">
        <is>
          <t>program.OwnerId != CurrentUserId?</t>
        </is>
      </c>
    </row>
    <row r="69" ht="15" customHeight="1" s="15">
      <c r="A69" s="25" t="n">
        <v>1</v>
      </c>
      <c r="B69" s="25" t="inlineStr">
        <is>
          <t>AddCandidate (POST)</t>
        </is>
      </c>
      <c r="C69" s="25" t="n">
        <v>19</v>
      </c>
      <c r="D69" s="25" t="inlineStr">
        <is>
          <t>Decision</t>
        </is>
      </c>
      <c r="E69" s="25" t="inlineStr">
        <is>
          <t>188</t>
        </is>
      </c>
      <c r="F69" s="25" t="inlineStr">
        <is>
          <t>!User.IsInRole(Admin)?  (&amp;&amp;)</t>
        </is>
      </c>
    </row>
    <row r="70" ht="15" customHeight="1" s="15">
      <c r="A70" s="25" t="n">
        <v>1</v>
      </c>
      <c r="B70" s="25" t="inlineStr">
        <is>
          <t>AddCandidate (POST)</t>
        </is>
      </c>
      <c r="C70" s="25" t="n">
        <v>20</v>
      </c>
      <c r="D70" s="25" t="inlineStr">
        <is>
          <t>Return (error / rejected)</t>
        </is>
      </c>
      <c r="E70" s="25" t="inlineStr">
        <is>
          <t>189</t>
        </is>
      </c>
      <c r="F70" s="25" t="inlineStr">
        <is>
          <t>return Forbid()</t>
        </is>
      </c>
    </row>
    <row r="71" ht="15" customHeight="1" s="15">
      <c r="A71" s="25" t="n">
        <v>1</v>
      </c>
      <c r="B71" s="25" t="inlineStr">
        <is>
          <t>AddCandidate (POST)</t>
        </is>
      </c>
      <c r="C71" s="25" t="n">
        <v>21</v>
      </c>
      <c r="D71" s="25" t="inlineStr">
        <is>
          <t>Decision</t>
        </is>
      </c>
      <c r="E71" s="25" t="inlineStr">
        <is>
          <t>191</t>
        </is>
      </c>
      <c r="F71" s="25" t="inlineStr">
        <is>
          <t>program.HasStarted?</t>
        </is>
      </c>
    </row>
    <row r="72" ht="15" customHeight="1" s="15">
      <c r="A72" s="25" t="n">
        <v>1</v>
      </c>
      <c r="B72" s="25" t="inlineStr">
        <is>
          <t>AddCandidate (POST)</t>
        </is>
      </c>
      <c r="C72" s="25" t="n">
        <v>22</v>
      </c>
      <c r="D72" s="25" t="inlineStr">
        <is>
          <t>Return (error / rejected)</t>
        </is>
      </c>
      <c r="E72" s="25" t="inlineStr">
        <is>
          <t>193-194</t>
        </is>
      </c>
      <c r="F72" s="25" t="inlineStr">
        <is>
          <t>TempData[Error]=voting started; return Redirect(ManageCandidates)</t>
        </is>
      </c>
    </row>
    <row r="73" ht="15" customHeight="1" s="15">
      <c r="A73" s="25" t="n">
        <v>1</v>
      </c>
      <c r="B73" s="25" t="inlineStr">
        <is>
          <t>AddCandidate (POST)</t>
        </is>
      </c>
      <c r="C73" s="25" t="n">
        <v>23</v>
      </c>
      <c r="D73" s="25" t="inlineStr">
        <is>
          <t>Process</t>
        </is>
      </c>
      <c r="E73" s="25" t="inlineStr">
        <is>
          <t>197-198</t>
        </is>
      </c>
      <c r="F73" s="25" t="inlineStr">
        <is>
          <t>codeExists = AnyAsync(same program, code ignoring case)</t>
        </is>
      </c>
    </row>
    <row r="74" ht="15" customHeight="1" s="15">
      <c r="A74" s="25" t="n">
        <v>1</v>
      </c>
      <c r="B74" s="25" t="inlineStr">
        <is>
          <t>AddCandidate (POST)</t>
        </is>
      </c>
      <c r="C74" s="25" t="n">
        <v>24</v>
      </c>
      <c r="D74" s="25" t="inlineStr">
        <is>
          <t>Decision</t>
        </is>
      </c>
      <c r="E74" s="25" t="inlineStr">
        <is>
          <t>200</t>
        </is>
      </c>
      <c r="F74" s="25" t="inlineStr">
        <is>
          <t>codeExists?</t>
        </is>
      </c>
    </row>
    <row r="75" ht="15" customHeight="1" s="15">
      <c r="A75" s="25" t="n">
        <v>1</v>
      </c>
      <c r="B75" s="25" t="inlineStr">
        <is>
          <t>AddCandidate (POST)</t>
        </is>
      </c>
      <c r="C75" s="25" t="n">
        <v>25</v>
      </c>
      <c r="D75" s="25" t="inlineStr">
        <is>
          <t>Return (error / rejected)</t>
        </is>
      </c>
      <c r="E75" s="25" t="inlineStr">
        <is>
          <t>202-203</t>
        </is>
      </c>
      <c r="F75" s="25" t="inlineStr">
        <is>
          <t>TempData[Error]=duplicate; return Redirect(ManageCandidates)</t>
        </is>
      </c>
    </row>
    <row r="76" ht="15" customHeight="1" s="15">
      <c r="A76" s="25" t="n">
        <v>1</v>
      </c>
      <c r="B76" s="25" t="inlineStr">
        <is>
          <t>AddCandidate (POST)</t>
        </is>
      </c>
      <c r="C76" s="25" t="n">
        <v>26</v>
      </c>
      <c r="D76" s="25" t="inlineStr">
        <is>
          <t>Process</t>
        </is>
      </c>
      <c r="E76" s="25" t="inlineStr">
        <is>
          <t>206</t>
        </is>
      </c>
      <c r="F76" s="25" t="inlineStr">
        <is>
          <t>safeImageUrl = null</t>
        </is>
      </c>
    </row>
    <row r="77" ht="15" customHeight="1" s="15">
      <c r="A77" s="25" t="n">
        <v>1</v>
      </c>
      <c r="B77" s="25" t="inlineStr">
        <is>
          <t>AddCandidate (POST)</t>
        </is>
      </c>
      <c r="C77" s="25" t="n">
        <v>27</v>
      </c>
      <c r="D77" s="25" t="inlineStr">
        <is>
          <t>Decision</t>
        </is>
      </c>
      <c r="E77" s="25" t="inlineStr">
        <is>
          <t>207</t>
        </is>
      </c>
      <c r="F77" s="25" t="inlineStr">
        <is>
          <t>!IsNullOrWhiteSpace(imageUrl)?</t>
        </is>
      </c>
    </row>
    <row r="78" ht="15" customHeight="1" s="15">
      <c r="A78" s="25" t="n">
        <v>1</v>
      </c>
      <c r="B78" s="25" t="inlineStr">
        <is>
          <t>AddCandidate (POST)</t>
        </is>
      </c>
      <c r="C78" s="25" t="n">
        <v>28</v>
      </c>
      <c r="D78" s="25" t="inlineStr">
        <is>
          <t>Process</t>
        </is>
      </c>
      <c r="E78" s="25" t="inlineStr">
        <is>
          <t>209</t>
        </is>
      </c>
      <c r="F78" s="25" t="inlineStr">
        <is>
          <t>imageUrl = imageUrl.Trim()</t>
        </is>
      </c>
    </row>
    <row r="79" ht="15" customHeight="1" s="15">
      <c r="A79" s="25" t="n">
        <v>1</v>
      </c>
      <c r="B79" s="25" t="inlineStr">
        <is>
          <t>AddCandidate (POST)</t>
        </is>
      </c>
      <c r="C79" s="25" t="n">
        <v>29</v>
      </c>
      <c r="D79" s="25" t="inlineStr">
        <is>
          <t>Decision</t>
        </is>
      </c>
      <c r="E79" s="25" t="inlineStr">
        <is>
          <t>210</t>
        </is>
      </c>
      <c r="F79" s="25" t="inlineStr">
        <is>
          <t>Uri.TryCreate(imageUrl, Absolute)?  (validUrl &amp;&amp;)</t>
        </is>
      </c>
    </row>
    <row r="80" ht="15" customHeight="1" s="15">
      <c r="A80" s="25" t="n">
        <v>1</v>
      </c>
      <c r="B80" s="25" t="inlineStr">
        <is>
          <t>AddCandidate (POST)</t>
        </is>
      </c>
      <c r="C80" s="25" t="n">
        <v>30</v>
      </c>
      <c r="D80" s="25" t="inlineStr">
        <is>
          <t>Decision</t>
        </is>
      </c>
      <c r="E80" s="25" t="inlineStr">
        <is>
          <t>211</t>
        </is>
      </c>
      <c r="F80" s="25" t="inlineStr">
        <is>
          <t>uri.Scheme == http?  (validUrl ||)</t>
        </is>
      </c>
    </row>
    <row r="81" ht="15" customHeight="1" s="15">
      <c r="A81" s="25" t="n">
        <v>1</v>
      </c>
      <c r="B81" s="25" t="inlineStr">
        <is>
          <t>AddCandidate (POST)</t>
        </is>
      </c>
      <c r="C81" s="25" t="n">
        <v>31</v>
      </c>
      <c r="D81" s="25" t="inlineStr">
        <is>
          <t>Process</t>
        </is>
      </c>
      <c r="E81" s="25" t="inlineStr">
        <is>
          <t>211</t>
        </is>
      </c>
      <c r="F81" s="25" t="inlineStr">
        <is>
          <t>validUrl = (uri.Scheme == https)</t>
        </is>
      </c>
    </row>
    <row r="82" ht="15" customHeight="1" s="15">
      <c r="A82" s="25" t="n">
        <v>1</v>
      </c>
      <c r="B82" s="25" t="inlineStr">
        <is>
          <t>AddCandidate (POST)</t>
        </is>
      </c>
      <c r="C82" s="25" t="n">
        <v>32</v>
      </c>
      <c r="D82" s="25" t="inlineStr">
        <is>
          <t>Decision</t>
        </is>
      </c>
      <c r="E82" s="25" t="inlineStr">
        <is>
          <t>214</t>
        </is>
      </c>
      <c r="F82" s="25" t="inlineStr">
        <is>
          <t>imageUrl.StartsWith('/')?  (relativeOk)</t>
        </is>
      </c>
    </row>
    <row r="83" ht="15" customHeight="1" s="15">
      <c r="A83" s="25" t="n">
        <v>1</v>
      </c>
      <c r="B83" s="25" t="inlineStr">
        <is>
          <t>AddCandidate (POST)</t>
        </is>
      </c>
      <c r="C83" s="25" t="n">
        <v>33</v>
      </c>
      <c r="D83" s="25" t="inlineStr">
        <is>
          <t>Decision</t>
        </is>
      </c>
      <c r="E83" s="25" t="inlineStr">
        <is>
          <t>215</t>
        </is>
      </c>
      <c r="F83" s="25" t="inlineStr">
        <is>
          <t>!imageUrl.StartsWith("//")?  (&amp;&amp;)</t>
        </is>
      </c>
    </row>
    <row r="84" ht="15" customHeight="1" s="15">
      <c r="A84" s="25" t="n">
        <v>1</v>
      </c>
      <c r="B84" s="25" t="inlineStr">
        <is>
          <t>AddCandidate (POST)</t>
        </is>
      </c>
      <c r="C84" s="25" t="n">
        <v>34</v>
      </c>
      <c r="D84" s="25" t="inlineStr">
        <is>
          <t>Process</t>
        </is>
      </c>
      <c r="E84" s="25" t="inlineStr">
        <is>
          <t>216</t>
        </is>
      </c>
      <c r="F84" s="25" t="inlineStr">
        <is>
          <t>relativeOk = !imageUrl.StartsWith("/\")</t>
        </is>
      </c>
    </row>
    <row r="85" ht="15" customHeight="1" s="15">
      <c r="A85" s="25" t="n">
        <v>1</v>
      </c>
      <c r="B85" s="25" t="inlineStr">
        <is>
          <t>AddCandidate (POST)</t>
        </is>
      </c>
      <c r="C85" s="25" t="n">
        <v>35</v>
      </c>
      <c r="D85" s="25" t="inlineStr">
        <is>
          <t>Decision</t>
        </is>
      </c>
      <c r="E85" s="25" t="inlineStr">
        <is>
          <t>218</t>
        </is>
      </c>
      <c r="F85" s="25" t="inlineStr">
        <is>
          <t>!validUrl?</t>
        </is>
      </c>
    </row>
    <row r="86" ht="15" customHeight="1" s="15">
      <c r="A86" s="25" t="n">
        <v>1</v>
      </c>
      <c r="B86" s="25" t="inlineStr">
        <is>
          <t>AddCandidate (POST)</t>
        </is>
      </c>
      <c r="C86" s="25" t="n">
        <v>36</v>
      </c>
      <c r="D86" s="25" t="inlineStr">
        <is>
          <t>Decision</t>
        </is>
      </c>
      <c r="E86" s="25" t="inlineStr">
        <is>
          <t>218</t>
        </is>
      </c>
      <c r="F86" s="25" t="inlineStr">
        <is>
          <t>!relativeOk?  (&amp;&amp;)</t>
        </is>
      </c>
    </row>
    <row r="87" ht="15" customHeight="1" s="15">
      <c r="A87" s="25" t="n">
        <v>1</v>
      </c>
      <c r="B87" s="25" t="inlineStr">
        <is>
          <t>AddCandidate (POST)</t>
        </is>
      </c>
      <c r="C87" s="25" t="n">
        <v>37</v>
      </c>
      <c r="D87" s="25" t="inlineStr">
        <is>
          <t>Return (error / rejected)</t>
        </is>
      </c>
      <c r="E87" s="25" t="inlineStr">
        <is>
          <t>220-221</t>
        </is>
      </c>
      <c r="F87" s="25" t="inlineStr">
        <is>
          <t>TempData[Error]=invalid URL; return Redirect(ManageCandidates)</t>
        </is>
      </c>
    </row>
    <row r="88" ht="15" customHeight="1" s="15">
      <c r="A88" s="25" t="n">
        <v>1</v>
      </c>
      <c r="B88" s="25" t="inlineStr">
        <is>
          <t>AddCandidate (POST)</t>
        </is>
      </c>
      <c r="C88" s="25" t="n">
        <v>38</v>
      </c>
      <c r="D88" s="25" t="inlineStr">
        <is>
          <t>Process</t>
        </is>
      </c>
      <c r="E88" s="25" t="inlineStr">
        <is>
          <t>224</t>
        </is>
      </c>
      <c r="F88" s="25" t="inlineStr">
        <is>
          <t>safeImageUrl = imageUrl</t>
        </is>
      </c>
    </row>
    <row r="89" ht="15" customHeight="1" s="15">
      <c r="A89" s="25" t="n">
        <v>1</v>
      </c>
      <c r="B89" s="25" t="inlineStr">
        <is>
          <t>AddCandidate (POST)</t>
        </is>
      </c>
      <c r="C89" s="25" t="n">
        <v>39</v>
      </c>
      <c r="D89" s="25" t="inlineStr">
        <is>
          <t>Process</t>
        </is>
      </c>
      <c r="E89" s="25" t="inlineStr">
        <is>
          <t>227-240</t>
        </is>
      </c>
      <c r="F89" s="25" t="inlineStr">
        <is>
          <t>build Candidate; Candidates.Add; SaveChangesAsync()</t>
        </is>
      </c>
    </row>
    <row r="90" ht="15" customHeight="1" s="15">
      <c r="A90" s="25" t="n">
        <v>1</v>
      </c>
      <c r="B90" s="25" t="inlineStr">
        <is>
          <t>AddCandidate (POST)</t>
        </is>
      </c>
      <c r="C90" s="25" t="n">
        <v>40</v>
      </c>
      <c r="D90" s="25" t="inlineStr">
        <is>
          <t>Decision</t>
        </is>
      </c>
      <c r="E90" s="25" t="inlineStr">
        <is>
          <t>242</t>
        </is>
      </c>
      <c r="F90" s="25" t="inlineStr">
        <is>
          <t>DbUpdateException thrown?  (catch)</t>
        </is>
      </c>
    </row>
    <row r="91" ht="15" customHeight="1" s="15">
      <c r="A91" s="25" t="n">
        <v>1</v>
      </c>
      <c r="B91" s="25" t="inlineStr">
        <is>
          <t>AddCandidate (POST)</t>
        </is>
      </c>
      <c r="C91" s="25" t="n">
        <v>41</v>
      </c>
      <c r="D91" s="25" t="inlineStr">
        <is>
          <t>Return (error / rejected)</t>
        </is>
      </c>
      <c r="E91" s="25" t="inlineStr">
        <is>
          <t>244-245</t>
        </is>
      </c>
      <c r="F91" s="25" t="inlineStr">
        <is>
          <t>TempData[Error]=could not save; return Redirect(ManageCandidates)</t>
        </is>
      </c>
    </row>
    <row r="92" ht="15" customHeight="1" s="15">
      <c r="A92" s="25" t="n">
        <v>1</v>
      </c>
      <c r="B92" s="25" t="inlineStr">
        <is>
          <t>AddCandidate (POST)</t>
        </is>
      </c>
      <c r="C92" s="25" t="n">
        <v>42</v>
      </c>
      <c r="D92" s="25" t="inlineStr">
        <is>
          <t>Return (normal)</t>
        </is>
      </c>
      <c r="E92" s="25" t="inlineStr">
        <is>
          <t>248-249</t>
        </is>
      </c>
      <c r="F92" s="25" t="inlineStr">
        <is>
          <t>TempData[Success]; return Redirect(ManageCandidates)</t>
        </is>
      </c>
    </row>
    <row r="93" ht="15" customHeight="1" s="15">
      <c r="A93" s="25" t="n">
        <v>2</v>
      </c>
      <c r="B93" s="25" t="inlineStr">
        <is>
          <t>DeleteCandidate (POST)</t>
        </is>
      </c>
      <c r="C93" s="25" t="n">
        <v>1</v>
      </c>
      <c r="D93" s="25" t="inlineStr">
        <is>
          <t>Process</t>
        </is>
      </c>
      <c r="E93" s="25" t="inlineStr">
        <is>
          <t>257</t>
        </is>
      </c>
      <c r="F93" s="25" t="inlineStr">
        <is>
          <t>program = Programs.FindAsync(programId)</t>
        </is>
      </c>
    </row>
    <row r="94" ht="15" customHeight="1" s="15">
      <c r="A94" s="25" t="n">
        <v>2</v>
      </c>
      <c r="B94" s="25" t="inlineStr">
        <is>
          <t>DeleteCandidate (POST)</t>
        </is>
      </c>
      <c r="C94" s="25" t="n">
        <v>2</v>
      </c>
      <c r="D94" s="25" t="inlineStr">
        <is>
          <t>Decision</t>
        </is>
      </c>
      <c r="E94" s="25" t="inlineStr">
        <is>
          <t>258</t>
        </is>
      </c>
      <c r="F94" s="25" t="inlineStr">
        <is>
          <t>program is null?</t>
        </is>
      </c>
    </row>
    <row r="95" ht="15" customHeight="1" s="15">
      <c r="A95" s="25" t="n">
        <v>2</v>
      </c>
      <c r="B95" s="25" t="inlineStr">
        <is>
          <t>DeleteCandidate (POST)</t>
        </is>
      </c>
      <c r="C95" s="25" t="n">
        <v>3</v>
      </c>
      <c r="D95" s="25" t="inlineStr">
        <is>
          <t>Return (error / rejected)</t>
        </is>
      </c>
      <c r="E95" s="25" t="inlineStr">
        <is>
          <t>258</t>
        </is>
      </c>
      <c r="F95" s="25" t="inlineStr">
        <is>
          <t>return NotFound()</t>
        </is>
      </c>
    </row>
    <row r="96" ht="15" customHeight="1" s="15">
      <c r="A96" s="25" t="n">
        <v>2</v>
      </c>
      <c r="B96" s="25" t="inlineStr">
        <is>
          <t>DeleteCandidate (POST)</t>
        </is>
      </c>
      <c r="C96" s="25" t="n">
        <v>4</v>
      </c>
      <c r="D96" s="25" t="inlineStr">
        <is>
          <t>Decision</t>
        </is>
      </c>
      <c r="E96" s="25" t="inlineStr">
        <is>
          <t>259</t>
        </is>
      </c>
      <c r="F96" s="25" t="inlineStr">
        <is>
          <t>program.OwnerId != CurrentUserId?</t>
        </is>
      </c>
    </row>
    <row r="97" ht="15" customHeight="1" s="15">
      <c r="A97" s="25" t="n">
        <v>2</v>
      </c>
      <c r="B97" s="25" t="inlineStr">
        <is>
          <t>DeleteCandidate (POST)</t>
        </is>
      </c>
      <c r="C97" s="25" t="n">
        <v>5</v>
      </c>
      <c r="D97" s="25" t="inlineStr">
        <is>
          <t>Decision</t>
        </is>
      </c>
      <c r="E97" s="25" t="inlineStr">
        <is>
          <t>259</t>
        </is>
      </c>
      <c r="F97" s="25" t="inlineStr">
        <is>
          <t>!User.IsInRole(Admin)?  (&amp;&amp;)</t>
        </is>
      </c>
    </row>
    <row r="98" ht="15" customHeight="1" s="15">
      <c r="A98" s="25" t="n">
        <v>2</v>
      </c>
      <c r="B98" s="25" t="inlineStr">
        <is>
          <t>DeleteCandidate (POST)</t>
        </is>
      </c>
      <c r="C98" s="25" t="n">
        <v>6</v>
      </c>
      <c r="D98" s="25" t="inlineStr">
        <is>
          <t>Return (error / rejected)</t>
        </is>
      </c>
      <c r="E98" s="25" t="inlineStr">
        <is>
          <t>260</t>
        </is>
      </c>
      <c r="F98" s="25" t="inlineStr">
        <is>
          <t>return Forbid()</t>
        </is>
      </c>
    </row>
    <row r="99" ht="15" customHeight="1" s="15">
      <c r="A99" s="25" t="n">
        <v>2</v>
      </c>
      <c r="B99" s="25" t="inlineStr">
        <is>
          <t>DeleteCandidate (POST)</t>
        </is>
      </c>
      <c r="C99" s="25" t="n">
        <v>7</v>
      </c>
      <c r="D99" s="25" t="inlineStr">
        <is>
          <t>Process</t>
        </is>
      </c>
      <c r="E99" s="25" t="inlineStr">
        <is>
          <t>262-263</t>
        </is>
      </c>
      <c r="F99" s="25" t="inlineStr">
        <is>
          <t>candidate = FirstOrDefault(Id == id &amp;&amp; ProgramId == programId)</t>
        </is>
      </c>
    </row>
    <row r="100" ht="15" customHeight="1" s="15">
      <c r="A100" s="25" t="n">
        <v>2</v>
      </c>
      <c r="B100" s="25" t="inlineStr">
        <is>
          <t>DeleteCandidate (POST)</t>
        </is>
      </c>
      <c r="C100" s="25" t="n">
        <v>8</v>
      </c>
      <c r="D100" s="25" t="inlineStr">
        <is>
          <t>Decision</t>
        </is>
      </c>
      <c r="E100" s="25" t="inlineStr">
        <is>
          <t>264</t>
        </is>
      </c>
      <c r="F100" s="25" t="inlineStr">
        <is>
          <t>candidate is null?</t>
        </is>
      </c>
    </row>
    <row r="101" ht="15" customHeight="1" s="15">
      <c r="A101" s="25" t="n">
        <v>2</v>
      </c>
      <c r="B101" s="25" t="inlineStr">
        <is>
          <t>DeleteCandidate (POST)</t>
        </is>
      </c>
      <c r="C101" s="25" t="n">
        <v>9</v>
      </c>
      <c r="D101" s="25" t="inlineStr">
        <is>
          <t>Return (error / rejected)</t>
        </is>
      </c>
      <c r="E101" s="25" t="inlineStr">
        <is>
          <t>264</t>
        </is>
      </c>
      <c r="F101" s="25" t="inlineStr">
        <is>
          <t>return NotFound()</t>
        </is>
      </c>
    </row>
    <row r="102" ht="15" customHeight="1" s="15">
      <c r="A102" s="25" t="n">
        <v>2</v>
      </c>
      <c r="B102" s="25" t="inlineStr">
        <is>
          <t>DeleteCandidate (POST)</t>
        </is>
      </c>
      <c r="C102" s="25" t="n">
        <v>10</v>
      </c>
      <c r="D102" s="25" t="inlineStr">
        <is>
          <t>Decision</t>
        </is>
      </c>
      <c r="E102" s="25" t="inlineStr">
        <is>
          <t>266</t>
        </is>
      </c>
      <c r="F102" s="25" t="inlineStr">
        <is>
          <t>program.HasStarted?</t>
        </is>
      </c>
    </row>
    <row r="103" ht="15" customHeight="1" s="15">
      <c r="A103" s="25" t="n">
        <v>2</v>
      </c>
      <c r="B103" s="25" t="inlineStr">
        <is>
          <t>DeleteCandidate (POST)</t>
        </is>
      </c>
      <c r="C103" s="25" t="n">
        <v>11</v>
      </c>
      <c r="D103" s="25" t="inlineStr">
        <is>
          <t>Return (error / rejected)</t>
        </is>
      </c>
      <c r="E103" s="25" t="inlineStr">
        <is>
          <t>268-269</t>
        </is>
      </c>
      <c r="F103" s="25" t="inlineStr">
        <is>
          <t>TempData[Error]=voting started; return Redirect(ManageCandidates)</t>
        </is>
      </c>
    </row>
    <row r="104" ht="15" customHeight="1" s="15">
      <c r="A104" s="25" t="n">
        <v>2</v>
      </c>
      <c r="B104" s="25" t="inlineStr">
        <is>
          <t>DeleteCandidate (POST)</t>
        </is>
      </c>
      <c r="C104" s="25" t="n">
        <v>12</v>
      </c>
      <c r="D104" s="25" t="inlineStr">
        <is>
          <t>Decision</t>
        </is>
      </c>
      <c r="E104" s="25" t="inlineStr">
        <is>
          <t>272</t>
        </is>
      </c>
      <c r="F104" s="25" t="inlineStr">
        <is>
          <t>Votes.AnyAsync(CandidateId == id)?</t>
        </is>
      </c>
    </row>
    <row r="105" ht="15" customHeight="1" s="15">
      <c r="A105" s="25" t="n">
        <v>2</v>
      </c>
      <c r="B105" s="25" t="inlineStr">
        <is>
          <t>DeleteCandidate (POST)</t>
        </is>
      </c>
      <c r="C105" s="25" t="n">
        <v>13</v>
      </c>
      <c r="D105" s="25" t="inlineStr">
        <is>
          <t>Return (error / rejected)</t>
        </is>
      </c>
      <c r="E105" s="25" t="inlineStr">
        <is>
          <t>274-275</t>
        </is>
      </c>
      <c r="F105" s="25" t="inlineStr">
        <is>
          <t>TempData[Error]=has votes; return Redirect(ManageCandidates)</t>
        </is>
      </c>
    </row>
    <row r="106" ht="15" customHeight="1" s="15">
      <c r="A106" s="25" t="n">
        <v>2</v>
      </c>
      <c r="B106" s="25" t="inlineStr">
        <is>
          <t>DeleteCandidate (POST)</t>
        </is>
      </c>
      <c r="C106" s="25" t="n">
        <v>14</v>
      </c>
      <c r="D106" s="25" t="inlineStr">
        <is>
          <t>Process</t>
        </is>
      </c>
      <c r="E106" s="25" t="inlineStr">
        <is>
          <t>280-281</t>
        </is>
      </c>
      <c r="F106" s="25" t="inlineStr">
        <is>
          <t>Candidates.Remove(candidate); SaveChangesAsync()</t>
        </is>
      </c>
    </row>
    <row r="107" ht="15" customHeight="1" s="15">
      <c r="A107" s="25" t="n">
        <v>2</v>
      </c>
      <c r="B107" s="25" t="inlineStr">
        <is>
          <t>DeleteCandidate (POST)</t>
        </is>
      </c>
      <c r="C107" s="25" t="n">
        <v>15</v>
      </c>
      <c r="D107" s="25" t="inlineStr">
        <is>
          <t>Decision</t>
        </is>
      </c>
      <c r="E107" s="25" t="inlineStr">
        <is>
          <t>283</t>
        </is>
      </c>
      <c r="F107" s="25" t="inlineStr">
        <is>
          <t>DbUpdateException thrown?  (catch)</t>
        </is>
      </c>
    </row>
    <row r="108" ht="15" customHeight="1" s="15">
      <c r="A108" s="25" t="n">
        <v>2</v>
      </c>
      <c r="B108" s="25" t="inlineStr">
        <is>
          <t>DeleteCandidate (POST)</t>
        </is>
      </c>
      <c r="C108" s="25" t="n">
        <v>16</v>
      </c>
      <c r="D108" s="25" t="inlineStr">
        <is>
          <t>Return (error / rejected)</t>
        </is>
      </c>
      <c r="E108" s="25" t="inlineStr">
        <is>
          <t>285-286</t>
        </is>
      </c>
      <c r="F108" s="25" t="inlineStr">
        <is>
          <t>TempData[Error]; return Redirect(ManageCandidates)</t>
        </is>
      </c>
    </row>
    <row r="109" ht="15" customHeight="1" s="15">
      <c r="A109" s="25" t="n">
        <v>2</v>
      </c>
      <c r="B109" s="25" t="inlineStr">
        <is>
          <t>DeleteCandidate (POST)</t>
        </is>
      </c>
      <c r="C109" s="25" t="n">
        <v>17</v>
      </c>
      <c r="D109" s="25" t="inlineStr">
        <is>
          <t>Return (normal)</t>
        </is>
      </c>
      <c r="E109" s="25" t="inlineStr">
        <is>
          <t>289-290</t>
        </is>
      </c>
      <c r="F109" s="25" t="inlineStr">
        <is>
          <t>TempData[Success]; return Redirect(ManageCandidates)</t>
        </is>
      </c>
    </row>
    <row r="110" ht="15" customHeight="1" s="15">
      <c r="A110" s="25" t="n">
        <v>2</v>
      </c>
      <c r="B110" s="25" t="inlineStr">
        <is>
          <t>Results (GET)</t>
        </is>
      </c>
      <c r="C110" s="25" t="n">
        <v>1</v>
      </c>
      <c r="D110" s="25" t="inlineStr">
        <is>
          <t>Process</t>
        </is>
      </c>
      <c r="E110" s="25" t="inlineStr">
        <is>
          <t>297</t>
        </is>
      </c>
      <c r="F110" s="25" t="inlineStr">
        <is>
          <t>program = GetProgramWithCandidatesAsync(id)</t>
        </is>
      </c>
    </row>
    <row r="111" ht="15" customHeight="1" s="15">
      <c r="A111" s="25" t="n">
        <v>2</v>
      </c>
      <c r="B111" s="25" t="inlineStr">
        <is>
          <t>Results (GET)</t>
        </is>
      </c>
      <c r="C111" s="25" t="n">
        <v>2</v>
      </c>
      <c r="D111" s="25" t="inlineStr">
        <is>
          <t>Decision</t>
        </is>
      </c>
      <c r="E111" s="25" t="inlineStr">
        <is>
          <t>298</t>
        </is>
      </c>
      <c r="F111" s="25" t="inlineStr">
        <is>
          <t>program is null?</t>
        </is>
      </c>
    </row>
    <row r="112" ht="15" customHeight="1" s="15">
      <c r="A112" s="25" t="n">
        <v>2</v>
      </c>
      <c r="B112" s="25" t="inlineStr">
        <is>
          <t>Results (GET)</t>
        </is>
      </c>
      <c r="C112" s="25" t="n">
        <v>3</v>
      </c>
      <c r="D112" s="25" t="inlineStr">
        <is>
          <t>Return (error / rejected)</t>
        </is>
      </c>
      <c r="E112" s="25" t="inlineStr">
        <is>
          <t>298</t>
        </is>
      </c>
      <c r="F112" s="25" t="inlineStr">
        <is>
          <t>return NotFound()</t>
        </is>
      </c>
    </row>
    <row r="113" ht="15" customHeight="1" s="15">
      <c r="A113" s="25" t="n">
        <v>2</v>
      </c>
      <c r="B113" s="25" t="inlineStr">
        <is>
          <t>Results (GET)</t>
        </is>
      </c>
      <c r="C113" s="25" t="n">
        <v>4</v>
      </c>
      <c r="D113" s="25" t="inlineStr">
        <is>
          <t>Decision</t>
        </is>
      </c>
      <c r="E113" s="25" t="inlineStr">
        <is>
          <t>300</t>
        </is>
      </c>
      <c r="F113" s="25" t="inlineStr">
        <is>
          <t>program.OwnerId != CurrentUserId?</t>
        </is>
      </c>
    </row>
    <row r="114" ht="15" customHeight="1" s="15">
      <c r="A114" s="25" t="n">
        <v>2</v>
      </c>
      <c r="B114" s="25" t="inlineStr">
        <is>
          <t>Results (GET)</t>
        </is>
      </c>
      <c r="C114" s="25" t="n">
        <v>5</v>
      </c>
      <c r="D114" s="25" t="inlineStr">
        <is>
          <t>Decision</t>
        </is>
      </c>
      <c r="E114" s="25" t="inlineStr">
        <is>
          <t>300</t>
        </is>
      </c>
      <c r="F114" s="25" t="inlineStr">
        <is>
          <t>!User.IsInRole(Admin)?  (&amp;&amp;)</t>
        </is>
      </c>
    </row>
    <row r="115" ht="15" customHeight="1" s="15">
      <c r="A115" s="25" t="n">
        <v>2</v>
      </c>
      <c r="B115" s="25" t="inlineStr">
        <is>
          <t>Results (GET)</t>
        </is>
      </c>
      <c r="C115" s="25" t="n">
        <v>6</v>
      </c>
      <c r="D115" s="25" t="inlineStr">
        <is>
          <t>Return (error / rejected)</t>
        </is>
      </c>
      <c r="E115" s="25" t="inlineStr">
        <is>
          <t>301</t>
        </is>
      </c>
      <c r="F115" s="25" t="inlineStr">
        <is>
          <t>return Forbid()</t>
        </is>
      </c>
    </row>
    <row r="116" ht="15" customHeight="1" s="15">
      <c r="A116" s="25" t="n">
        <v>2</v>
      </c>
      <c r="B116" s="25" t="inlineStr">
        <is>
          <t>Results (GET)</t>
        </is>
      </c>
      <c r="C116" s="25" t="n">
        <v>7</v>
      </c>
      <c r="D116" s="25" t="inlineStr">
        <is>
          <t>Process</t>
        </is>
      </c>
      <c r="E116" s="25" t="inlineStr">
        <is>
          <t>303-304</t>
        </is>
      </c>
      <c r="F116" s="25" t="inlineStr">
        <is>
          <t>results = GetResultsAsync(id); totalVotes = Sum(VoteCount)</t>
        </is>
      </c>
    </row>
    <row r="117" ht="15" customHeight="1" s="15">
      <c r="A117" s="25" t="n">
        <v>2</v>
      </c>
      <c r="B117" s="25" t="inlineStr">
        <is>
          <t>Results (GET)</t>
        </is>
      </c>
      <c r="C117" s="25" t="n">
        <v>8</v>
      </c>
      <c r="D117" s="25" t="inlineStr">
        <is>
          <t>Process</t>
        </is>
      </c>
      <c r="E117" s="25" t="inlineStr">
        <is>
          <t>306-308</t>
        </is>
      </c>
      <c r="F117" s="25" t="inlineStr">
        <is>
          <t>set ViewBag.Results/TotalVotes; BlockchainValid = IsChainValidForProgramAsync</t>
        </is>
      </c>
    </row>
    <row r="118" ht="15" customHeight="1" s="15">
      <c r="A118" s="25" t="n">
        <v>2</v>
      </c>
      <c r="B118" s="25" t="inlineStr">
        <is>
          <t>Results (GET)</t>
        </is>
      </c>
      <c r="C118" s="25" t="n">
        <v>9</v>
      </c>
      <c r="D118" s="25" t="inlineStr">
        <is>
          <t>Return (normal)</t>
        </is>
      </c>
      <c r="E118" s="25" t="inlineStr">
        <is>
          <t>310</t>
        </is>
      </c>
      <c r="F118" s="25" t="inlineStr">
        <is>
          <t>return View(ResultsView, program)</t>
        </is>
      </c>
    </row>
    <row r="119" ht="15" customHeight="1" s="15">
      <c r="A119" s="25" t="n">
        <v>2</v>
      </c>
      <c r="B119" s="25" t="inlineStr">
        <is>
          <t>ManageVoters (GET)</t>
        </is>
      </c>
      <c r="C119" s="25" t="n">
        <v>1</v>
      </c>
      <c r="D119" s="25" t="inlineStr">
        <is>
          <t>Process</t>
        </is>
      </c>
      <c r="E119" s="25" t="inlineStr">
        <is>
          <t>317-320</t>
        </is>
      </c>
      <c r="F119" s="25" t="inlineStr">
        <is>
          <t>program = Programs.Include(Owner).AsNoTracking().FirstOrDefault(programId)</t>
        </is>
      </c>
    </row>
    <row r="120" ht="15" customHeight="1" s="15">
      <c r="A120" s="25" t="n">
        <v>2</v>
      </c>
      <c r="B120" s="25" t="inlineStr">
        <is>
          <t>ManageVoters (GET)</t>
        </is>
      </c>
      <c r="C120" s="25" t="n">
        <v>2</v>
      </c>
      <c r="D120" s="25" t="inlineStr">
        <is>
          <t>Decision</t>
        </is>
      </c>
      <c r="E120" s="25" t="inlineStr">
        <is>
          <t>322</t>
        </is>
      </c>
      <c r="F120" s="25" t="inlineStr">
        <is>
          <t>program == null?</t>
        </is>
      </c>
    </row>
    <row r="121" ht="15" customHeight="1" s="15">
      <c r="A121" s="25" t="n">
        <v>2</v>
      </c>
      <c r="B121" s="25" t="inlineStr">
        <is>
          <t>ManageVoters (GET)</t>
        </is>
      </c>
      <c r="C121" s="25" t="n">
        <v>3</v>
      </c>
      <c r="D121" s="25" t="inlineStr">
        <is>
          <t>Return (error / rejected)</t>
        </is>
      </c>
      <c r="E121" s="25" t="inlineStr">
        <is>
          <t>322</t>
        </is>
      </c>
      <c r="F121" s="25" t="inlineStr">
        <is>
          <t>return NotFound()</t>
        </is>
      </c>
    </row>
    <row r="122" ht="15" customHeight="1" s="15">
      <c r="A122" s="25" t="n">
        <v>2</v>
      </c>
      <c r="B122" s="25" t="inlineStr">
        <is>
          <t>ManageVoters (GET)</t>
        </is>
      </c>
      <c r="C122" s="25" t="n">
        <v>4</v>
      </c>
      <c r="D122" s="25" t="inlineStr">
        <is>
          <t>Decision</t>
        </is>
      </c>
      <c r="E122" s="25" t="inlineStr">
        <is>
          <t>324</t>
        </is>
      </c>
      <c r="F122" s="25" t="inlineStr">
        <is>
          <t>program.OwnerId != CurrentUserId?</t>
        </is>
      </c>
    </row>
    <row r="123" ht="15" customHeight="1" s="15">
      <c r="A123" s="25" t="n">
        <v>2</v>
      </c>
      <c r="B123" s="25" t="inlineStr">
        <is>
          <t>ManageVoters (GET)</t>
        </is>
      </c>
      <c r="C123" s="25" t="n">
        <v>5</v>
      </c>
      <c r="D123" s="25" t="inlineStr">
        <is>
          <t>Decision</t>
        </is>
      </c>
      <c r="E123" s="25" t="inlineStr">
        <is>
          <t>324</t>
        </is>
      </c>
      <c r="F123" s="25" t="inlineStr">
        <is>
          <t>!User.IsInRole(Admin)?  (&amp;&amp;)</t>
        </is>
      </c>
    </row>
    <row r="124" ht="15" customHeight="1" s="15">
      <c r="A124" s="25" t="n">
        <v>2</v>
      </c>
      <c r="B124" s="25" t="inlineStr">
        <is>
          <t>ManageVoters (GET)</t>
        </is>
      </c>
      <c r="C124" s="25" t="n">
        <v>6</v>
      </c>
      <c r="D124" s="25" t="inlineStr">
        <is>
          <t>Return (error / rejected)</t>
        </is>
      </c>
      <c r="E124" s="25" t="inlineStr">
        <is>
          <t>325</t>
        </is>
      </c>
      <c r="F124" s="25" t="inlineStr">
        <is>
          <t>return Forbid()</t>
        </is>
      </c>
    </row>
    <row r="125" ht="15" customHeight="1" s="15">
      <c r="A125" s="25" t="n">
        <v>2</v>
      </c>
      <c r="B125" s="25" t="inlineStr">
        <is>
          <t>ManageVoters (GET)</t>
        </is>
      </c>
      <c r="C125" s="25" t="n">
        <v>7</v>
      </c>
      <c r="D125" s="25" t="inlineStr">
        <is>
          <t>Process</t>
        </is>
      </c>
      <c r="E125" s="25" t="inlineStr">
        <is>
          <t>327-331</t>
        </is>
      </c>
      <c r="F125" s="25" t="inlineStr">
        <is>
          <t>voters = Voters.Where(ProgramId).OrderBy(Name).ToList()</t>
        </is>
      </c>
    </row>
    <row r="126" ht="15" customHeight="1" s="15">
      <c r="A126" s="25" t="n">
        <v>2</v>
      </c>
      <c r="B126" s="25" t="inlineStr">
        <is>
          <t>ManageVoters (GET)</t>
        </is>
      </c>
      <c r="C126" s="25" t="n">
        <v>8</v>
      </c>
      <c r="D126" s="25" t="inlineStr">
        <is>
          <t>Process</t>
        </is>
      </c>
      <c r="E126" s="25" t="inlineStr">
        <is>
          <t>333</t>
        </is>
      </c>
      <c r="F126" s="25" t="inlineStr">
        <is>
          <t>ViewBag.Program = program</t>
        </is>
      </c>
    </row>
    <row r="127" ht="15" customHeight="1" s="15">
      <c r="A127" s="25" t="n">
        <v>2</v>
      </c>
      <c r="B127" s="25" t="inlineStr">
        <is>
          <t>ManageVoters (GET)</t>
        </is>
      </c>
      <c r="C127" s="25" t="n">
        <v>9</v>
      </c>
      <c r="D127" s="25" t="inlineStr">
        <is>
          <t>Return (normal)</t>
        </is>
      </c>
      <c r="E127" s="25" t="inlineStr">
        <is>
          <t>334</t>
        </is>
      </c>
      <c r="F127" s="25" t="inlineStr">
        <is>
          <t>return View(ManageVotersView, voters)</t>
        </is>
      </c>
    </row>
    <row r="128" ht="15" customHeight="1" s="15">
      <c r="A128" s="25" t="n">
        <v>2</v>
      </c>
      <c r="B128" s="25" t="inlineStr">
        <is>
          <t>RegisterVoter (POST)</t>
        </is>
      </c>
      <c r="C128" s="25" t="n">
        <v>1</v>
      </c>
      <c r="D128" s="25" t="inlineStr">
        <is>
          <t>Process</t>
        </is>
      </c>
      <c r="E128" s="25" t="inlineStr">
        <is>
          <t>356</t>
        </is>
      </c>
      <c r="F128" s="25" t="inlineStr">
        <is>
          <t>program = Programs.FindAsync(programId)</t>
        </is>
      </c>
    </row>
    <row r="129" ht="15" customHeight="1" s="15">
      <c r="A129" s="25" t="n">
        <v>2</v>
      </c>
      <c r="B129" s="25" t="inlineStr">
        <is>
          <t>RegisterVoter (POST)</t>
        </is>
      </c>
      <c r="C129" s="25" t="n">
        <v>2</v>
      </c>
      <c r="D129" s="25" t="inlineStr">
        <is>
          <t>Decision</t>
        </is>
      </c>
      <c r="E129" s="25" t="inlineStr">
        <is>
          <t>357</t>
        </is>
      </c>
      <c r="F129" s="25" t="inlineStr">
        <is>
          <t>program is null?</t>
        </is>
      </c>
    </row>
    <row r="130" ht="15" customHeight="1" s="15">
      <c r="A130" s="25" t="n">
        <v>2</v>
      </c>
      <c r="B130" s="25" t="inlineStr">
        <is>
          <t>RegisterVoter (POST)</t>
        </is>
      </c>
      <c r="C130" s="25" t="n">
        <v>3</v>
      </c>
      <c r="D130" s="25" t="inlineStr">
        <is>
          <t>Return (error / rejected)</t>
        </is>
      </c>
      <c r="E130" s="25" t="inlineStr">
        <is>
          <t>357</t>
        </is>
      </c>
      <c r="F130" s="25" t="inlineStr">
        <is>
          <t>return NotFound()</t>
        </is>
      </c>
    </row>
    <row r="131" ht="15" customHeight="1" s="15">
      <c r="A131" s="25" t="n">
        <v>2</v>
      </c>
      <c r="B131" s="25" t="inlineStr">
        <is>
          <t>RegisterVoter (POST)</t>
        </is>
      </c>
      <c r="C131" s="25" t="n">
        <v>4</v>
      </c>
      <c r="D131" s="25" t="inlineStr">
        <is>
          <t>Decision</t>
        </is>
      </c>
      <c r="E131" s="25" t="inlineStr">
        <is>
          <t>358</t>
        </is>
      </c>
      <c r="F131" s="25" t="inlineStr">
        <is>
          <t>program.OwnerId != CurrentUserId?</t>
        </is>
      </c>
    </row>
    <row r="132" ht="15" customHeight="1" s="15">
      <c r="A132" s="25" t="n">
        <v>2</v>
      </c>
      <c r="B132" s="25" t="inlineStr">
        <is>
          <t>RegisterVoter (POST)</t>
        </is>
      </c>
      <c r="C132" s="25" t="n">
        <v>5</v>
      </c>
      <c r="D132" s="25" t="inlineStr">
        <is>
          <t>Decision</t>
        </is>
      </c>
      <c r="E132" s="25" t="inlineStr">
        <is>
          <t>358</t>
        </is>
      </c>
      <c r="F132" s="25" t="inlineStr">
        <is>
          <t>!User.IsInRole(Admin)?  (&amp;&amp;)</t>
        </is>
      </c>
    </row>
    <row r="133" ht="15" customHeight="1" s="15">
      <c r="A133" s="25" t="n">
        <v>2</v>
      </c>
      <c r="B133" s="25" t="inlineStr">
        <is>
          <t>RegisterVoter (POST)</t>
        </is>
      </c>
      <c r="C133" s="25" t="n">
        <v>6</v>
      </c>
      <c r="D133" s="25" t="inlineStr">
        <is>
          <t>Return (error / rejected)</t>
        </is>
      </c>
      <c r="E133" s="25" t="inlineStr">
        <is>
          <t>359</t>
        </is>
      </c>
      <c r="F133" s="25" t="inlineStr">
        <is>
          <t>return Forbid()</t>
        </is>
      </c>
    </row>
    <row r="134" ht="15" customHeight="1" s="15">
      <c r="A134" s="25" t="n">
        <v>2</v>
      </c>
      <c r="B134" s="25" t="inlineStr">
        <is>
          <t>RegisterVoter (POST)</t>
        </is>
      </c>
      <c r="C134" s="25" t="n">
        <v>7</v>
      </c>
      <c r="D134" s="25" t="inlineStr">
        <is>
          <t>Process</t>
        </is>
      </c>
      <c r="E134" s="25" t="inlineStr">
        <is>
          <t>361-362</t>
        </is>
      </c>
      <c r="F134" s="25" t="inlineStr">
        <is>
          <t>(success, error) = RegisterVoterByEmailAsync(..., "owner")</t>
        </is>
      </c>
    </row>
    <row r="135" ht="15" customHeight="1" s="15">
      <c r="A135" s="25" t="n">
        <v>2</v>
      </c>
      <c r="B135" s="25" t="inlineStr">
        <is>
          <t>RegisterVoter (POST)</t>
        </is>
      </c>
      <c r="C135" s="25" t="n">
        <v>8</v>
      </c>
      <c r="D135" s="25" t="inlineStr">
        <is>
          <t>Decision</t>
        </is>
      </c>
      <c r="E135" s="25" t="inlineStr">
        <is>
          <t>364</t>
        </is>
      </c>
      <c r="F135" s="25" t="inlineStr">
        <is>
          <t>!success?</t>
        </is>
      </c>
    </row>
    <row r="136" ht="15" customHeight="1" s="15">
      <c r="A136" s="25" t="n">
        <v>2</v>
      </c>
      <c r="B136" s="25" t="inlineStr">
        <is>
          <t>RegisterVoter (POST)</t>
        </is>
      </c>
      <c r="C136" s="25" t="n">
        <v>9</v>
      </c>
      <c r="D136" s="25" t="inlineStr">
        <is>
          <t>Return (error / rejected)</t>
        </is>
      </c>
      <c r="E136" s="25" t="inlineStr">
        <is>
          <t>366-367</t>
        </is>
      </c>
      <c r="F136" s="25" t="inlineStr">
        <is>
          <t>TempData[Error]=error; return Redirect(ManageVoters)</t>
        </is>
      </c>
    </row>
    <row r="137" ht="15" customHeight="1" s="15">
      <c r="A137" s="25" t="n">
        <v>2</v>
      </c>
      <c r="B137" s="25" t="inlineStr">
        <is>
          <t>RegisterVoter (POST)</t>
        </is>
      </c>
      <c r="C137" s="25" t="n">
        <v>10</v>
      </c>
      <c r="D137" s="25" t="inlineStr">
        <is>
          <t>Return (normal)</t>
        </is>
      </c>
      <c r="E137" s="25" t="inlineStr">
        <is>
          <t>370-371</t>
        </is>
      </c>
      <c r="F137" s="25" t="inlineStr">
        <is>
          <t>TempData[Success]; return Redirect(ManageVoters)</t>
        </is>
      </c>
    </row>
    <row r="138" ht="15" customHeight="1" s="15">
      <c r="A138" s="25" t="n">
        <v>2</v>
      </c>
      <c r="B138" s="25" t="inlineStr">
        <is>
          <t>RemoveVoter (POST)</t>
        </is>
      </c>
      <c r="C138" s="25" t="n">
        <v>1</v>
      </c>
      <c r="D138" s="25" t="inlineStr">
        <is>
          <t>Process</t>
        </is>
      </c>
      <c r="E138" s="25" t="inlineStr">
        <is>
          <t>379</t>
        </is>
      </c>
      <c r="F138" s="25" t="inlineStr">
        <is>
          <t>program = Programs.FindAsync(programId)</t>
        </is>
      </c>
    </row>
    <row r="139" ht="15" customHeight="1" s="15">
      <c r="A139" s="25" t="n">
        <v>2</v>
      </c>
      <c r="B139" s="25" t="inlineStr">
        <is>
          <t>RemoveVoter (POST)</t>
        </is>
      </c>
      <c r="C139" s="25" t="n">
        <v>2</v>
      </c>
      <c r="D139" s="25" t="inlineStr">
        <is>
          <t>Decision</t>
        </is>
      </c>
      <c r="E139" s="25" t="inlineStr">
        <is>
          <t>380</t>
        </is>
      </c>
      <c r="F139" s="25" t="inlineStr">
        <is>
          <t>program is null?</t>
        </is>
      </c>
    </row>
    <row r="140" ht="15" customHeight="1" s="15">
      <c r="A140" s="25" t="n">
        <v>2</v>
      </c>
      <c r="B140" s="25" t="inlineStr">
        <is>
          <t>RemoveVoter (POST)</t>
        </is>
      </c>
      <c r="C140" s="25" t="n">
        <v>3</v>
      </c>
      <c r="D140" s="25" t="inlineStr">
        <is>
          <t>Return (error / rejected)</t>
        </is>
      </c>
      <c r="E140" s="25" t="inlineStr">
        <is>
          <t>380</t>
        </is>
      </c>
      <c r="F140" s="25" t="inlineStr">
        <is>
          <t>return NotFound()</t>
        </is>
      </c>
    </row>
    <row r="141" ht="15" customHeight="1" s="15">
      <c r="A141" s="25" t="n">
        <v>2</v>
      </c>
      <c r="B141" s="25" t="inlineStr">
        <is>
          <t>RemoveVoter (POST)</t>
        </is>
      </c>
      <c r="C141" s="25" t="n">
        <v>4</v>
      </c>
      <c r="D141" s="25" t="inlineStr">
        <is>
          <t>Decision</t>
        </is>
      </c>
      <c r="E141" s="25" t="inlineStr">
        <is>
          <t>381</t>
        </is>
      </c>
      <c r="F141" s="25" t="inlineStr">
        <is>
          <t>program.OwnerId != CurrentUserId?</t>
        </is>
      </c>
    </row>
    <row r="142" ht="15" customHeight="1" s="15">
      <c r="A142" s="25" t="n">
        <v>2</v>
      </c>
      <c r="B142" s="25" t="inlineStr">
        <is>
          <t>RemoveVoter (POST)</t>
        </is>
      </c>
      <c r="C142" s="25" t="n">
        <v>5</v>
      </c>
      <c r="D142" s="25" t="inlineStr">
        <is>
          <t>Decision</t>
        </is>
      </c>
      <c r="E142" s="25" t="inlineStr">
        <is>
          <t>381</t>
        </is>
      </c>
      <c r="F142" s="25" t="inlineStr">
        <is>
          <t>!User.IsInRole(Admin)?  (&amp;&amp;)</t>
        </is>
      </c>
    </row>
    <row r="143" ht="15" customHeight="1" s="15">
      <c r="A143" s="25" t="n">
        <v>2</v>
      </c>
      <c r="B143" s="25" t="inlineStr">
        <is>
          <t>RemoveVoter (POST)</t>
        </is>
      </c>
      <c r="C143" s="25" t="n">
        <v>6</v>
      </c>
      <c r="D143" s="25" t="inlineStr">
        <is>
          <t>Return (error / rejected)</t>
        </is>
      </c>
      <c r="E143" s="25" t="inlineStr">
        <is>
          <t>382</t>
        </is>
      </c>
      <c r="F143" s="25" t="inlineStr">
        <is>
          <t>return Forbid()</t>
        </is>
      </c>
    </row>
    <row r="144" ht="15" customHeight="1" s="15">
      <c r="A144" s="25" t="n">
        <v>2</v>
      </c>
      <c r="B144" s="25" t="inlineStr">
        <is>
          <t>RemoveVoter (POST)</t>
        </is>
      </c>
      <c r="C144" s="25" t="n">
        <v>7</v>
      </c>
      <c r="D144" s="25" t="inlineStr">
        <is>
          <t>Process</t>
        </is>
      </c>
      <c r="E144" s="25" t="inlineStr">
        <is>
          <t>385</t>
        </is>
      </c>
      <c r="F144" s="25" t="inlineStr">
        <is>
          <t>(success, error) = RemoveVoterAsync(voterId, programId)</t>
        </is>
      </c>
    </row>
    <row r="145" ht="15" customHeight="1" s="15">
      <c r="A145" s="25" t="n">
        <v>2</v>
      </c>
      <c r="B145" s="25" t="inlineStr">
        <is>
          <t>RemoveVoter (POST)</t>
        </is>
      </c>
      <c r="C145" s="25" t="n">
        <v>8</v>
      </c>
      <c r="D145" s="25" t="inlineStr">
        <is>
          <t>Decision</t>
        </is>
      </c>
      <c r="E145" s="25" t="inlineStr">
        <is>
          <t>387</t>
        </is>
      </c>
      <c r="F145" s="25" t="inlineStr">
        <is>
          <t>success ? "Success" : "Error"  (TempData key, ?:)</t>
        </is>
      </c>
    </row>
    <row r="146" ht="15" customHeight="1" s="15">
      <c r="A146" s="25" t="n">
        <v>2</v>
      </c>
      <c r="B146" s="25" t="inlineStr">
        <is>
          <t>RemoveVoter (POST)</t>
        </is>
      </c>
      <c r="C146" s="25" t="n">
        <v>9</v>
      </c>
      <c r="D146" s="25" t="inlineStr">
        <is>
          <t>Decision</t>
        </is>
      </c>
      <c r="E146" s="25" t="inlineStr">
        <is>
          <t>388</t>
        </is>
      </c>
      <c r="F146" s="25" t="inlineStr">
        <is>
          <t>success ? message : error  (TempData value, ?:)</t>
        </is>
      </c>
    </row>
    <row r="147" ht="15" customHeight="1" s="15">
      <c r="A147" s="25" t="n">
        <v>2</v>
      </c>
      <c r="B147" s="25" t="inlineStr">
        <is>
          <t>RemoveVoter (POST)</t>
        </is>
      </c>
      <c r="C147" s="25" t="n">
        <v>10</v>
      </c>
      <c r="D147" s="25" t="inlineStr">
        <is>
          <t>Return (normal)</t>
        </is>
      </c>
      <c r="E147" s="25" t="inlineStr">
        <is>
          <t>390</t>
        </is>
      </c>
      <c r="F147" s="25" t="inlineStr">
        <is>
          <t>return RedirectToAction(ManageVoters)</t>
        </is>
      </c>
    </row>
    <row r="148" ht="15" customHeight="1" s="15">
      <c r="A148" s="25" t="n">
        <v>2</v>
      </c>
      <c r="B148" s="25" t="inlineStr">
        <is>
          <t>Delete (POST)</t>
        </is>
      </c>
      <c r="C148" s="25" t="n">
        <v>1</v>
      </c>
      <c r="D148" s="25" t="inlineStr">
        <is>
          <t>Process</t>
        </is>
      </c>
      <c r="E148" s="25" t="inlineStr">
        <is>
          <t>398</t>
        </is>
      </c>
      <c r="F148" s="25" t="inlineStr">
        <is>
          <t>program = Programs.FindAsync(id)</t>
        </is>
      </c>
    </row>
    <row r="149" ht="15" customHeight="1" s="15">
      <c r="A149" s="25" t="n">
        <v>2</v>
      </c>
      <c r="B149" s="25" t="inlineStr">
        <is>
          <t>Delete (POST)</t>
        </is>
      </c>
      <c r="C149" s="25" t="n">
        <v>2</v>
      </c>
      <c r="D149" s="25" t="inlineStr">
        <is>
          <t>Decision</t>
        </is>
      </c>
      <c r="E149" s="25" t="inlineStr">
        <is>
          <t>399</t>
        </is>
      </c>
      <c r="F149" s="25" t="inlineStr">
        <is>
          <t>program is null?</t>
        </is>
      </c>
    </row>
    <row r="150" ht="15" customHeight="1" s="15">
      <c r="A150" s="25" t="n">
        <v>2</v>
      </c>
      <c r="B150" s="25" t="inlineStr">
        <is>
          <t>Delete (POST)</t>
        </is>
      </c>
      <c r="C150" s="25" t="n">
        <v>3</v>
      </c>
      <c r="D150" s="25" t="inlineStr">
        <is>
          <t>Return (error / rejected)</t>
        </is>
      </c>
      <c r="E150" s="25" t="inlineStr">
        <is>
          <t>399</t>
        </is>
      </c>
      <c r="F150" s="25" t="inlineStr">
        <is>
          <t>return NotFound()</t>
        </is>
      </c>
    </row>
    <row r="151" ht="15" customHeight="1" s="15">
      <c r="A151" s="25" t="n">
        <v>2</v>
      </c>
      <c r="B151" s="25" t="inlineStr">
        <is>
          <t>Delete (POST)</t>
        </is>
      </c>
      <c r="C151" s="25" t="n">
        <v>4</v>
      </c>
      <c r="D151" s="25" t="inlineStr">
        <is>
          <t>Decision</t>
        </is>
      </c>
      <c r="E151" s="25" t="inlineStr">
        <is>
          <t>401</t>
        </is>
      </c>
      <c r="F151" s="25" t="inlineStr">
        <is>
          <t>program.OwnerId != CurrentUserId?</t>
        </is>
      </c>
    </row>
    <row r="152" ht="15" customHeight="1" s="15">
      <c r="A152" s="25" t="n">
        <v>2</v>
      </c>
      <c r="B152" s="25" t="inlineStr">
        <is>
          <t>Delete (POST)</t>
        </is>
      </c>
      <c r="C152" s="25" t="n">
        <v>5</v>
      </c>
      <c r="D152" s="25" t="inlineStr">
        <is>
          <t>Decision</t>
        </is>
      </c>
      <c r="E152" s="25" t="inlineStr">
        <is>
          <t>401</t>
        </is>
      </c>
      <c r="F152" s="25" t="inlineStr">
        <is>
          <t>!User.IsInRole(Admin)?  (&amp;&amp;)</t>
        </is>
      </c>
    </row>
    <row r="153" ht="15" customHeight="1" s="15">
      <c r="A153" s="25" t="n">
        <v>2</v>
      </c>
      <c r="B153" s="25" t="inlineStr">
        <is>
          <t>Delete (POST)</t>
        </is>
      </c>
      <c r="C153" s="25" t="n">
        <v>6</v>
      </c>
      <c r="D153" s="25" t="inlineStr">
        <is>
          <t>Return (error / rejected)</t>
        </is>
      </c>
      <c r="E153" s="25" t="inlineStr">
        <is>
          <t>402</t>
        </is>
      </c>
      <c r="F153" s="25" t="inlineStr">
        <is>
          <t>return Forbid()</t>
        </is>
      </c>
    </row>
    <row r="154" ht="15" customHeight="1" s="15">
      <c r="A154" s="25" t="n">
        <v>2</v>
      </c>
      <c r="B154" s="25" t="inlineStr">
        <is>
          <t>Delete (POST)</t>
        </is>
      </c>
      <c r="C154" s="25" t="n">
        <v>7</v>
      </c>
      <c r="D154" s="25" t="inlineStr">
        <is>
          <t>Decision</t>
        </is>
      </c>
      <c r="E154" s="25" t="inlineStr">
        <is>
          <t>404</t>
        </is>
      </c>
      <c r="F154" s="25" t="inlineStr">
        <is>
          <t>program.IsPublished?</t>
        </is>
      </c>
    </row>
    <row r="155" ht="15" customHeight="1" s="15">
      <c r="A155" s="25" t="n">
        <v>2</v>
      </c>
      <c r="B155" s="25" t="inlineStr">
        <is>
          <t>Delete (POST)</t>
        </is>
      </c>
      <c r="C155" s="25" t="n">
        <v>8</v>
      </c>
      <c r="D155" s="25" t="inlineStr">
        <is>
          <t>Decision</t>
        </is>
      </c>
      <c r="E155" s="25" t="inlineStr">
        <is>
          <t>404</t>
        </is>
      </c>
      <c r="F155" s="25" t="inlineStr">
        <is>
          <t>!program.HasEnded?  (&amp;&amp;)</t>
        </is>
      </c>
    </row>
    <row r="156" ht="15" customHeight="1" s="15">
      <c r="A156" s="25" t="n">
        <v>2</v>
      </c>
      <c r="B156" s="25" t="inlineStr">
        <is>
          <t>Delete (POST)</t>
        </is>
      </c>
      <c r="C156" s="25" t="n">
        <v>9</v>
      </c>
      <c r="D156" s="25" t="inlineStr">
        <is>
          <t>Decision</t>
        </is>
      </c>
      <c r="E156" s="25" t="inlineStr">
        <is>
          <t>406</t>
        </is>
      </c>
      <c r="F156" s="25" t="inlineStr">
        <is>
          <t>program.HasStarted?  (?:)</t>
        </is>
      </c>
    </row>
    <row r="157" ht="15" customHeight="1" s="15">
      <c r="A157" s="25" t="n">
        <v>2</v>
      </c>
      <c r="B157" s="25" t="inlineStr">
        <is>
          <t>Delete (POST)</t>
        </is>
      </c>
      <c r="C157" s="25" t="n">
        <v>10</v>
      </c>
      <c r="D157" s="25" t="inlineStr">
        <is>
          <t>Return (error / rejected)</t>
        </is>
      </c>
      <c r="E157" s="25" t="inlineStr">
        <is>
          <t>406-409</t>
        </is>
      </c>
      <c r="F157" s="25" t="inlineStr">
        <is>
          <t>TempData[Error]=in progress / unpublish first; return Redirect(MyPrograms)</t>
        </is>
      </c>
    </row>
    <row r="158" ht="15" customHeight="1" s="15">
      <c r="A158" s="25" t="n">
        <v>2</v>
      </c>
      <c r="B158" s="25" t="inlineStr">
        <is>
          <t>Delete (POST)</t>
        </is>
      </c>
      <c r="C158" s="25" t="n">
        <v>11</v>
      </c>
      <c r="D158" s="25" t="inlineStr">
        <is>
          <t>Decision</t>
        </is>
      </c>
      <c r="E158" s="25" t="inlineStr">
        <is>
          <t>412</t>
        </is>
      </c>
      <c r="F158" s="25" t="inlineStr">
        <is>
          <t>Votes.AnyAsync(ProgramId == id)?</t>
        </is>
      </c>
    </row>
    <row r="159" ht="15" customHeight="1" s="15">
      <c r="A159" s="25" t="n">
        <v>2</v>
      </c>
      <c r="B159" s="25" t="inlineStr">
        <is>
          <t>Delete (POST)</t>
        </is>
      </c>
      <c r="C159" s="25" t="n">
        <v>12</v>
      </c>
      <c r="D159" s="25" t="inlineStr">
        <is>
          <t>Return (error / rejected)</t>
        </is>
      </c>
      <c r="E159" s="25" t="inlineStr">
        <is>
          <t>414-415</t>
        </is>
      </c>
      <c r="F159" s="25" t="inlineStr">
        <is>
          <t>TempData[Error]=has votes; return Redirect(MyPrograms)</t>
        </is>
      </c>
    </row>
    <row r="160" ht="15" customHeight="1" s="15">
      <c r="A160" s="25" t="n">
        <v>2</v>
      </c>
      <c r="B160" s="25" t="inlineStr">
        <is>
          <t>Delete (POST)</t>
        </is>
      </c>
      <c r="C160" s="25" t="n">
        <v>13</v>
      </c>
      <c r="D160" s="25" t="inlineStr">
        <is>
          <t>Process</t>
        </is>
      </c>
      <c r="E160" s="25" t="inlineStr">
        <is>
          <t>420-421</t>
        </is>
      </c>
      <c r="F160" s="25" t="inlineStr">
        <is>
          <t>Programs.Remove(program); SaveChangesAsync()</t>
        </is>
      </c>
    </row>
    <row r="161" ht="15" customHeight="1" s="15">
      <c r="A161" s="25" t="n">
        <v>2</v>
      </c>
      <c r="B161" s="25" t="inlineStr">
        <is>
          <t>Delete (POST)</t>
        </is>
      </c>
      <c r="C161" s="25" t="n">
        <v>14</v>
      </c>
      <c r="D161" s="25" t="inlineStr">
        <is>
          <t>Decision</t>
        </is>
      </c>
      <c r="E161" s="25" t="inlineStr">
        <is>
          <t>423</t>
        </is>
      </c>
      <c r="F161" s="25" t="inlineStr">
        <is>
          <t>DbUpdateException thrown?  (catch)</t>
        </is>
      </c>
    </row>
    <row r="162" ht="15" customHeight="1" s="15">
      <c r="A162" s="25" t="n">
        <v>2</v>
      </c>
      <c r="B162" s="25" t="inlineStr">
        <is>
          <t>Delete (POST)</t>
        </is>
      </c>
      <c r="C162" s="25" t="n">
        <v>15</v>
      </c>
      <c r="D162" s="25" t="inlineStr">
        <is>
          <t>Return (error / rejected)</t>
        </is>
      </c>
      <c r="E162" s="25" t="inlineStr">
        <is>
          <t>425-426</t>
        </is>
      </c>
      <c r="F162" s="25" t="inlineStr">
        <is>
          <t>TempData[Error]=could not delete; return Redirect(MyPrograms)</t>
        </is>
      </c>
    </row>
    <row r="163" ht="15" customHeight="1" s="15">
      <c r="A163" s="25" t="n">
        <v>2</v>
      </c>
      <c r="B163" s="25" t="inlineStr">
        <is>
          <t>Delete (POST)</t>
        </is>
      </c>
      <c r="C163" s="25" t="n">
        <v>16</v>
      </c>
      <c r="D163" s="25" t="inlineStr">
        <is>
          <t>Return (normal)</t>
        </is>
      </c>
      <c r="E163" s="25" t="inlineStr">
        <is>
          <t>429-430</t>
        </is>
      </c>
      <c r="F163" s="25" t="inlineStr">
        <is>
          <t>TempData[Success]; return Redirect(MyPrograms)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2026-10-09T10:52:34Z</dcterms:created>
  <dcterms:modified xsi:type="dcterms:W3CDTF">2026-10-12T20:56:14Z</dcterms:modified>
  <cp:revision>0</cp:revision>
</cp:coreProperties>
</file>