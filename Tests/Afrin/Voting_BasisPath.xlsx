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ths" sheetId="2" state="visible" r:id="rId4"/>
    <sheet name="Node Legen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<sst xmlns="http://schemas.openxmlformats.org/spreadsheetml/2006/main" count="616" uniqueCount="268">
  <si>
    <t xml:space="preserve">Basis-path analysis: 5 key Voting app functions (test suite dated 2026-10-13)</t>
  </si>
  <si>
    <t xml:space="preserve">Decision counts and V(G) values are calculated from the displayed test-derived behavioral diagrams. Because the archive contains tests/results but not the production service .cs files, these are model-based basis paths rather than source-confirmed cyclomatic complexity.</t>
  </si>
  <si>
    <t xml:space="preserve">Function</t>
  </si>
  <si>
    <t xml:space="preserve">Decision nodes (P)</t>
  </si>
  <si>
    <t xml:space="preserve">V(G) = P + 1</t>
  </si>
  <si>
    <t xml:space="preserve">Edges (E)</t>
  </si>
  <si>
    <t xml:space="preserve">Nodes </t>
  </si>
  <si>
    <t xml:space="preserve">V(G) = E - N + 2</t>
  </si>
  <si>
    <t xml:space="preserve">V(G) check</t>
  </si>
  <si>
    <t xml:space="preserve">Paths listed</t>
  </si>
  <si>
    <t xml:space="preserve">Paths = V(G)?</t>
  </si>
  <si>
    <t xml:space="preserve">Test methods identified</t>
  </si>
  <si>
    <t xml:space="preserve">Suite result</t>
  </si>
  <si>
    <t xml:space="preserve">Confidence</t>
  </si>
  <si>
    <t xml:space="preserve">Create Voting Program</t>
  </si>
  <si>
    <t xml:space="preserve">PASS — suite 169/169</t>
  </si>
  <si>
    <t xml:space="preserve">Test-derived estimate</t>
  </si>
  <si>
    <t xml:space="preserve">Update Voting Program</t>
  </si>
  <si>
    <t xml:space="preserve">Authorization/existence model</t>
  </si>
  <si>
    <t xml:space="preserve">Register Voter by Email</t>
  </si>
  <si>
    <t xml:space="preserve">Explicit BP1–BP9 tests</t>
  </si>
  <si>
    <t xml:space="preserve">Remove Voter</t>
  </si>
  <si>
    <t xml:space="preserve">3 equivalence partitions</t>
  </si>
  <si>
    <t xml:space="preserve">Get Voting Results</t>
  </si>
  <si>
    <t xml:space="preserve">Result-state abstraction</t>
  </si>
  <si>
    <t xml:space="preserve">Total (sum of per-function metrics)</t>
  </si>
  <si>
    <t xml:space="preserve">—</t>
  </si>
  <si>
    <t xml:space="preserve">Per-function checks above</t>
  </si>
  <si>
    <t xml:space="preserve">169 passed / 0 failed</t>
  </si>
  <si>
    <t xml:space="preserve">Model totals</t>
  </si>
  <si>
    <t xml:space="preserve">Notes &amp; interpretation</t>
  </si>
  <si>
    <t xml:space="preserve">1. Scope: ValidateAndCreateProgramAsync, ValidateAndUpdateProgramAsync, RegisterVoterByEmailAsync, RemoveVoterAsync, and GetResultsAsync.</t>
  </si>
  <si>
    <t xml:space="preserve">2. Test evidence: Afrin/afrin-output.txt reports 169 total tests, all 169 passed; selected xUnit method names are listed on the Paths sheet.</t>
  </si>
  <si>
    <t xml:space="preserve">3. Basis-path caveat: only test sources/results were supplied, not the production controller/service implementation. The diagrams therefore model decision behavior exposed by tests; they do not claim source-confirmed V(G).</t>
  </si>
  <si>
    <t xml:space="preserve">4. RegisterVoterByEmailAsync paths preserve the BP1–BP9 sequences documented in RegisterVoterBasisPathTests.cs; S and E are added as diagram entry/virtual exit nodes.</t>
  </si>
  <si>
    <t xml:space="preserve">5. The Results diagram treats program/candidate/vote states as separate behavioral branches for test explanation; the actual implementation may express these via query composition rather than explicit if statements.</t>
  </si>
  <si>
    <t xml:space="preserve">Basis paths: tested behaviors and expected outcomes</t>
  </si>
  <si>
    <t xml:space="preserve">Each row is one modeled independent path. S = entry and E = shared virtual exit. Paths for voter registration correspond to the explicit BP comments in the supplied test code.</t>
  </si>
  <si>
    <t xml:space="preserve">Path</t>
  </si>
  <si>
    <t xml:space="preserve">Node sequence</t>
  </si>
  <si>
    <t xml:space="preserve">Branch / condition covered</t>
  </si>
  <si>
    <t xml:space="preserve">Expected result</t>
  </si>
  <si>
    <t xml:space="preserve">xUnit test method(s)</t>
  </si>
  <si>
    <t xml:space="preserve">Notes</t>
  </si>
  <si>
    <t xml:space="preserve">P1</t>
  </si>
  <si>
    <t xml:space="preserve">S → 1 → 2 → E</t>
  </si>
  <si>
    <t xml:space="preserve">Unauthenticated user</t>
  </si>
  <si>
    <t xml:space="preserve">Failure: login required</t>
  </si>
  <si>
    <t xml:space="preserve">Create_UnauthenticatedUser_IsRejected</t>
  </si>
  <si>
    <t xml:space="preserve">Pass (suite run)</t>
  </si>
  <si>
    <t xml:space="preserve">Test-derived behavioral path</t>
  </si>
  <si>
    <t xml:space="preserve">P2</t>
  </si>
  <si>
    <t xml:space="preserve">S → 1 → 3 → 4 → E</t>
  </si>
  <si>
    <t xml:space="preserve">Authenticated but no user ID</t>
  </si>
  <si>
    <t xml:space="preserve">Failure: user cannot be identified</t>
  </si>
  <si>
    <t xml:space="preserve">Create_AuthenticatedWithoutUserId_IsRejected</t>
  </si>
  <si>
    <t xml:space="preserve">P3</t>
  </si>
  <si>
    <t xml:space="preserve">S → 1 → 3 → 5 → 6 → E</t>
  </si>
  <si>
    <t xml:space="preserve">Blank / whitespace / null name</t>
  </si>
  <si>
    <t xml:space="preserve">Failure: program name required</t>
  </si>
  <si>
    <t xml:space="preserve">Create_BlankProgramName_IsRejected</t>
  </si>
  <si>
    <t xml:space="preserve">P4</t>
  </si>
  <si>
    <t xml:space="preserve">S → 1 → 3 → 5 → 7 → 8 → E</t>
  </si>
  <si>
    <t xml:space="preserve">Default/unselected dates</t>
  </si>
  <si>
    <t xml:space="preserve">Failure: valid start and end required</t>
  </si>
  <si>
    <t xml:space="preserve">Create_DefaultTimes_AreRejected</t>
  </si>
  <si>
    <t xml:space="preserve">P5</t>
  </si>
  <si>
    <t xml:space="preserve">S → 1 → 3 → 5 → 7 → 9 → 10 → E</t>
  </si>
  <si>
    <t xml:space="preserve">Non-UTC times without browser offsets</t>
  </si>
  <si>
    <t xml:space="preserve">Failure: time-zone information required</t>
  </si>
  <si>
    <t xml:space="preserve">Create_NonUtcTimesWithoutOffset_AreRejected</t>
  </si>
  <si>
    <t xml:space="preserve">P6</t>
  </si>
  <si>
    <t xml:space="preserve">S → 1 → 3 → 5 → 7 → 9 → 11 → 12 → 13 → 15 → 16 → 18 → E</t>
  </si>
  <si>
    <t xml:space="preserve">Non-UTC input with offset; conversion succeeds; slug unique</t>
  </si>
  <si>
    <t xml:space="preserve">Success: times converted to UTC, program saved</t>
  </si>
  <si>
    <t xml:space="preserve">Create_NonUtcWithOffset_IsConvertedToUtc</t>
  </si>
  <si>
    <t xml:space="preserve">P7</t>
  </si>
  <si>
    <t xml:space="preserve">S → 1 → 3 → 5 → 7 → 9 → 11 → 13 → 14 → E</t>
  </si>
  <si>
    <t xml:space="preserve">End precedes start / duration under 5 minutes</t>
  </si>
  <si>
    <t xml:space="preserve">Failure: duration validation</t>
  </si>
  <si>
    <t xml:space="preserve">Create_EndBeforeStart_IsRejected; CreateProgram_DurationJustUnderFiveMinutes_IsRejected</t>
  </si>
  <si>
    <t xml:space="preserve">P8</t>
  </si>
  <si>
    <t xml:space="preserve">S → 1 → 3 → 5 → 7 → 9 → 11 → 13 → 15 → 16 → 17 → E</t>
  </si>
  <si>
    <t xml:space="preserve">Normalized slug conflicts with existing slug</t>
  </si>
  <si>
    <t xml:space="preserve">Failure: duplicate slug</t>
  </si>
  <si>
    <t xml:space="preserve">Create_DuplicateSlug_IsRejected</t>
  </si>
  <si>
    <t xml:space="preserve">P9</t>
  </si>
  <si>
    <t xml:space="preserve">S → 1 → 3 → 5 → 7 → 9 → 11 → 13 → 15 → 16 → 18 → E</t>
  </si>
  <si>
    <t xml:space="preserve">Valid UTC input with unique/normalized slug</t>
  </si>
  <si>
    <t xml:space="preserve">Success: saved with owner</t>
  </si>
  <si>
    <t xml:space="preserve">Create_ValidUtcProgram_IsSavedWithOwner; Create_SlugPartitions_AreNormalized</t>
  </si>
  <si>
    <t xml:space="preserve">Program ID does not exist</t>
  </si>
  <si>
    <t xml:space="preserve">Failure: not found</t>
  </si>
  <si>
    <t xml:space="preserve">Update_MissingProgram_IsRejected</t>
  </si>
  <si>
    <t xml:space="preserve">Ownership/admin model</t>
  </si>
  <si>
    <t xml:space="preserve">S → 1 → 3 → 6 → 7 → E</t>
  </si>
  <si>
    <t xml:space="preserve">Existing program; caller is owner</t>
  </si>
  <si>
    <t xml:space="preserve">Success: updates saved</t>
  </si>
  <si>
    <t xml:space="preserve">Update_ByOwner_IsAccepted</t>
  </si>
  <si>
    <t xml:space="preserve">S → 1 → 3 → 4 → 5 → E</t>
  </si>
  <si>
    <t xml:space="preserve">Existing program; non-owner and non-admin</t>
  </si>
  <si>
    <t xml:space="preserve">Failure: update not allowed</t>
  </si>
  <si>
    <t xml:space="preserve">Update_ByDifferentNonAdminUser_IsRejected</t>
  </si>
  <si>
    <t xml:space="preserve">S → 1 → 3 → 4 → 6 → 7 → E</t>
  </si>
  <si>
    <t xml:space="preserve">Existing program; caller is admin but not owner</t>
  </si>
  <si>
    <t xml:space="preserve">Success: admin update allowed</t>
  </si>
  <si>
    <t xml:space="preserve">Update_ByAdminWhoIsNotOwner_IsAccepted</t>
  </si>
  <si>
    <t xml:space="preserve">BP1</t>
  </si>
  <si>
    <t xml:space="preserve">S → 1 → 2 → 4 → 6 → 8 → 11 → 13 → 14 → 15 → E</t>
  </si>
  <si>
    <t xml:space="preserve">Valid name/email; program exists; no linked account; MemberId supplied</t>
  </si>
  <si>
    <t xml:space="preserve">Success: voter saved with MemberId</t>
  </si>
  <si>
    <t xml:space="preserve">BP1_HappyPath_NoLinkedUser_WithMemberId</t>
  </si>
  <si>
    <t xml:space="preserve">Explicit basis-path test</t>
  </si>
  <si>
    <t xml:space="preserve">BP2</t>
  </si>
  <si>
    <t xml:space="preserve">S → 1 → 3 → E</t>
  </si>
  <si>
    <t xml:space="preserve">Blank name</t>
  </si>
  <si>
    <t xml:space="preserve">Failure: required fields</t>
  </si>
  <si>
    <t xml:space="preserve">BP2_BlankName</t>
  </si>
  <si>
    <t xml:space="preserve">BP3</t>
  </si>
  <si>
    <t xml:space="preserve">S → 1 → 2 → 3 → E</t>
  </si>
  <si>
    <t xml:space="preserve">Valid name; blank email</t>
  </si>
  <si>
    <t xml:space="preserve">BP3_BlankEmail</t>
  </si>
  <si>
    <t xml:space="preserve">BP4</t>
  </si>
  <si>
    <t xml:space="preserve">S → 1 → 2 → 4 → 5 → E</t>
  </si>
  <si>
    <t xml:space="preserve">Program ID missing</t>
  </si>
  <si>
    <t xml:space="preserve">Failure: program not found</t>
  </si>
  <si>
    <t xml:space="preserve">BP4_ProgramNotFound</t>
  </si>
  <si>
    <t xml:space="preserve">BP5</t>
  </si>
  <si>
    <t xml:space="preserve">S → 1 → 2 → 4 → 6 → 7 → E</t>
  </si>
  <si>
    <t xml:space="preserve">Email already registered in same program</t>
  </si>
  <si>
    <t xml:space="preserve">Failure: duplicate email</t>
  </si>
  <si>
    <t xml:space="preserve">BP5_EmailAlreadyRegistered</t>
  </si>
  <si>
    <t xml:space="preserve">BP6</t>
  </si>
  <si>
    <t xml:space="preserve">S → 1 → 2 → 4 → 6 → 8 → 9 → 10 → E</t>
  </si>
  <si>
    <t xml:space="preserve">Linked account already registered under another voter/email</t>
  </si>
  <si>
    <t xml:space="preserve">Failure: account already registered</t>
  </si>
  <si>
    <t xml:space="preserve">BP6_LinkedUserAlreadyRegistered</t>
  </si>
  <si>
    <t xml:space="preserve">BP7</t>
  </si>
  <si>
    <t xml:space="preserve">S → 1 → 2 → 4 → 6 → 8 → 9 → 11 → 13 → 14 → 15 → E</t>
  </si>
  <si>
    <t xml:space="preserve">Linked user found but not yet registered; MemberId supplied</t>
  </si>
  <si>
    <t xml:space="preserve">Success: linked UserId and voter saved</t>
  </si>
  <si>
    <t xml:space="preserve">BP7_LinkedUserNotYetRegistered</t>
  </si>
  <si>
    <t xml:space="preserve">BP8</t>
  </si>
  <si>
    <t xml:space="preserve">S → 1 → 2 → 4 → 6 → 8 → 11 → 12 → 14 → 15 → E</t>
  </si>
  <si>
    <t xml:space="preserve">MemberId missing/whitespace</t>
  </si>
  <si>
    <t xml:space="preserve">Success: voter saved with null MemberId</t>
  </si>
  <si>
    <t xml:space="preserve">BP8_BlankMemberId</t>
  </si>
  <si>
    <t xml:space="preserve">BP9</t>
  </si>
  <si>
    <t xml:space="preserve">S → 1 → 2 → 4 → 6 → 8 → 11 → 13 → 14 → 16 → E</t>
  </si>
  <si>
    <t xml:space="preserve">SaveChangesAsync throws database update exception</t>
  </si>
  <si>
    <t xml:space="preserve">Failure: handled database error</t>
  </si>
  <si>
    <t xml:space="preserve">BP9_DatabaseUpdateException</t>
  </si>
  <si>
    <t xml:space="preserve">Voter ID does not exist</t>
  </si>
  <si>
    <t xml:space="preserve">Failure: voter not found</t>
  </si>
  <si>
    <t xml:space="preserve">RemoveVoter_UnknownId_IsRejected</t>
  </si>
  <si>
    <t xml:space="preserve">Voter exists but belongs to another program</t>
  </si>
  <si>
    <t xml:space="preserve">Failure: remove rejected; voter remains</t>
  </si>
  <si>
    <t xml:space="preserve">RemoveVoter_BelongsToOtherProgram_IsRejected</t>
  </si>
  <si>
    <t xml:space="preserve">S → 1 → 2 → 4 → 6 → E</t>
  </si>
  <si>
    <t xml:space="preserve">Voter exists in the requested program</t>
  </si>
  <si>
    <t xml:space="preserve">Success: voter removed</t>
  </si>
  <si>
    <t xml:space="preserve">RemoveVoter_ExistsInProgram_IsRemoved</t>
  </si>
  <si>
    <t xml:space="preserve">Requested program is missing</t>
  </si>
  <si>
    <t xml:space="preserve">Empty results</t>
  </si>
  <si>
    <t xml:space="preserve">Results_MissingProgram_ReturnsEmpty</t>
  </si>
  <si>
    <t xml:space="preserve">Behavioral outcome path; implementation structure not supplied</t>
  </si>
  <si>
    <t xml:space="preserve">Program exists but contains no candidates</t>
  </si>
  <si>
    <t xml:space="preserve">Results_ProgramWithoutCandidates_ReturnsEmpty</t>
  </si>
  <si>
    <t xml:space="preserve">Candidates exist, no votes recorded</t>
  </si>
  <si>
    <t xml:space="preserve">Candidates returned with vote count = 0</t>
  </si>
  <si>
    <t xml:space="preserve">Results_CandidatesWithoutVotes_AllZero</t>
  </si>
  <si>
    <t xml:space="preserve">S → 1 → 2 → 4 → 6 → 8 → E</t>
  </si>
  <si>
    <t xml:space="preserve">Candidates and votes exist</t>
  </si>
  <si>
    <t xml:space="preserve">Vote counts computed and sorted descending</t>
  </si>
  <si>
    <t xml:space="preserve">Results_MixedVotes_AreSortedDescending</t>
  </si>
  <si>
    <t xml:space="preserve">Node legend for five test-derived flow graphs</t>
  </si>
  <si>
    <t xml:space="preserve">Numbered nodes match the individual diagram panels and path sequences. Start and End are added for graph accounting.</t>
  </si>
  <si>
    <t xml:space="preserve">Diagram</t>
  </si>
  <si>
    <t xml:space="preserve">Node</t>
  </si>
  <si>
    <t xml:space="preserve">Type</t>
  </si>
  <si>
    <t xml:space="preserve">Statement / decision</t>
  </si>
  <si>
    <t xml:space="preserve">Evidence / interpretation</t>
  </si>
  <si>
    <t xml:space="preserve">S</t>
  </si>
  <si>
    <t xml:space="preserve">Start</t>
  </si>
  <si>
    <t xml:space="preserve">Entry point added for the flow graph</t>
  </si>
  <si>
    <t xml:space="preserve">Diagram-only entry node; not a production statement</t>
  </si>
  <si>
    <t xml:space="preserve">1</t>
  </si>
  <si>
    <t xml:space="preserve">Decision</t>
  </si>
  <si>
    <t xml:space="preserve">Authenticated?</t>
  </si>
  <si>
    <t xml:space="preserve">Test-derived behavior model; production source not in archive</t>
  </si>
  <si>
    <t xml:space="preserve">2</t>
  </si>
  <si>
    <t xml:space="preserve">Return (rejected)</t>
  </si>
  <si>
    <t xml:space="preserve">Reject: login required</t>
  </si>
  <si>
    <t xml:space="preserve">3</t>
  </si>
  <si>
    <t xml:space="preserve">User ID available?</t>
  </si>
  <si>
    <t xml:space="preserve">4</t>
  </si>
  <si>
    <t xml:space="preserve">Reject: user ID missing</t>
  </si>
  <si>
    <t xml:space="preserve">5</t>
  </si>
  <si>
    <t xml:space="preserve">Program name nonblank?</t>
  </si>
  <si>
    <t xml:space="preserve">6</t>
  </si>
  <si>
    <t xml:space="preserve">Reject: name required</t>
  </si>
  <si>
    <t xml:space="preserve">7</t>
  </si>
  <si>
    <t xml:space="preserve">Start/end times selected?</t>
  </si>
  <si>
    <t xml:space="preserve">8</t>
  </si>
  <si>
    <t xml:space="preserve">Reject: invalid/default times</t>
  </si>
  <si>
    <t xml:space="preserve">9</t>
  </si>
  <si>
    <t xml:space="preserve">UTC times or offsets supplied?</t>
  </si>
  <si>
    <t xml:space="preserve">10</t>
  </si>
  <si>
    <t xml:space="preserve">Reject: time-zone info missing</t>
  </si>
  <si>
    <t xml:space="preserve">11</t>
  </si>
  <si>
    <t xml:space="preserve">Offset conversion needed?</t>
  </si>
  <si>
    <t xml:space="preserve">12</t>
  </si>
  <si>
    <t xml:space="preserve">Process</t>
  </si>
  <si>
    <t xml:space="preserve">Normalize start/end to UTC</t>
  </si>
  <si>
    <t xml:space="preserve">13</t>
  </si>
  <si>
    <t xml:space="preserve">Duration is at least 5 min?</t>
  </si>
  <si>
    <t xml:space="preserve">14</t>
  </si>
  <si>
    <t xml:space="preserve">Reject: duration too short / end before start</t>
  </si>
  <si>
    <t xml:space="preserve">15</t>
  </si>
  <si>
    <t xml:space="preserve">Normalize slug</t>
  </si>
  <si>
    <t xml:space="preserve">16</t>
  </si>
  <si>
    <t xml:space="preserve">Slug already used?</t>
  </si>
  <si>
    <t xml:space="preserve">17</t>
  </si>
  <si>
    <t xml:space="preserve">Reject: duplicate slug</t>
  </si>
  <si>
    <t xml:space="preserve">18</t>
  </si>
  <si>
    <t xml:space="preserve">Return (success)</t>
  </si>
  <si>
    <t xml:space="preserve">Save program with owner</t>
  </si>
  <si>
    <t xml:space="preserve">E</t>
  </si>
  <si>
    <t xml:space="preserve">End</t>
  </si>
  <si>
    <t xml:space="preserve">Shared virtual exit from all return outcomes</t>
  </si>
  <si>
    <t xml:space="preserve">Added for cyclomatic accounting; not a source statement</t>
  </si>
  <si>
    <t xml:space="preserve">Program exists?</t>
  </si>
  <si>
    <t xml:space="preserve">Authorization/existence behavior model; source-level validation branches may add complexity</t>
  </si>
  <si>
    <t xml:space="preserve">Reject: program not found</t>
  </si>
  <si>
    <t xml:space="preserve">Current user owns program?</t>
  </si>
  <si>
    <t xml:space="preserve">Current user is admin?</t>
  </si>
  <si>
    <t xml:space="preserve">Reject: update not allowed</t>
  </si>
  <si>
    <t xml:space="preserve">Apply changes and save</t>
  </si>
  <si>
    <t xml:space="preserve">Return success</t>
  </si>
  <si>
    <t xml:space="preserve">Name nonblank?</t>
  </si>
  <si>
    <t xml:space="preserve">Explicit path numbering in RegisterVoterBasisPathTests.cs</t>
  </si>
  <si>
    <t xml:space="preserve">Email nonblank?</t>
  </si>
  <si>
    <t xml:space="preserve">Reject: name and email required</t>
  </si>
  <si>
    <t xml:space="preserve">Email already registered in this program?</t>
  </si>
  <si>
    <t xml:space="preserve">Reject: duplicate email</t>
  </si>
  <si>
    <t xml:space="preserve">Linked user account found?</t>
  </si>
  <si>
    <t xml:space="preserve">Account already linked to a voter?</t>
  </si>
  <si>
    <t xml:space="preserve">Reject: account already registered</t>
  </si>
  <si>
    <t xml:space="preserve">Member ID supplied?</t>
  </si>
  <si>
    <t xml:space="preserve">Store MemberId as null</t>
  </si>
  <si>
    <t xml:space="preserve">Trim MemberId and build voter</t>
  </si>
  <si>
    <t xml:space="preserve">SaveChangesAsync throws?</t>
  </si>
  <si>
    <t xml:space="preserve">Catch DbUpdateException; return failure</t>
  </si>
  <si>
    <t xml:space="preserve">Find voter by ID</t>
  </si>
  <si>
    <t xml:space="preserve">Three explicit equivalence partitions: missing ID, wrong program, valid removal</t>
  </si>
  <si>
    <t xml:space="preserve">Voter exists?</t>
  </si>
  <si>
    <t xml:space="preserve">Reject: voter not found</t>
  </si>
  <si>
    <t xml:space="preserve">Voter belongs to requested program?</t>
  </si>
  <si>
    <t xml:space="preserve">Reject: program mismatch</t>
  </si>
  <si>
    <t xml:space="preserve">Remove voter and save</t>
  </si>
  <si>
    <t xml:space="preserve">Load program and candidate data</t>
  </si>
  <si>
    <t xml:space="preserve">Test state partition; exact branch syntax cannot be verified from tests alone</t>
  </si>
  <si>
    <t xml:space="preserve">Return empty results: no program</t>
  </si>
  <si>
    <t xml:space="preserve">Any candidates?</t>
  </si>
  <si>
    <t xml:space="preserve">Return empty results: no candidates</t>
  </si>
  <si>
    <t xml:space="preserve">Any votes?</t>
  </si>
  <si>
    <t xml:space="preserve">Return candidates with zero counts</t>
  </si>
  <si>
    <t xml:space="preserve">Count votes and sort descending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</si>
</sst>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4B556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F7FAFC"/>
        <bgColor rgb="FFF8FAFC"/>
      </patternFill>
    </fill>
    <fill>
      <patternFill patternType="solid">
        <fgColor rgb="FFEEF5FC"/>
        <bgColor rgb="FFF3F5F7"/>
      </patternFill>
    </fill>
    <fill>
      <patternFill patternType="solid">
        <fgColor rgb="FFD8EFD8"/>
        <bgColor rgb="FFDCEBFA"/>
      </patternFill>
    </fill>
    <fill>
      <patternFill patternType="solid">
        <fgColor rgb="FFD9E2F3"/>
        <bgColor rgb="FFDCEBFA"/>
      </patternFill>
    </fill>
    <fill>
      <patternFill patternType="solid">
        <fgColor rgb="FFF8FAFC"/>
        <bgColor rgb="FFF7FAFC"/>
      </patternFill>
    </fill>
    <fill>
      <patternFill patternType="solid">
        <fgColor rgb="FFFFFFFF"/>
        <bgColor rgb="FFF8FAFC"/>
      </patternFill>
    </fill>
    <fill>
      <patternFill patternType="solid">
        <fgColor rgb="FFF3F5F7"/>
        <bgColor rgb="FFEEF5FC"/>
      </patternFill>
    </fill>
    <fill>
      <patternFill patternType="solid">
        <fgColor rgb="FFFFF0BD"/>
        <bgColor rgb="FFF3F5F7"/>
      </patternFill>
    </fill>
    <fill>
      <patternFill patternType="solid">
        <fgColor rgb="FFF7D4BC"/>
        <bgColor rgb="FFFFF0BD"/>
      </patternFill>
    </fill>
    <fill>
      <patternFill patternType="solid">
        <fgColor rgb="FFDCEBFA"/>
        <bgColor rgb="FFD9E2F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F7FAFC"/>
      <rgbColor rgb="FF808080"/>
      <rgbColor rgb="FF9999FF"/>
      <rgbColor rgb="FF993366"/>
      <rgbColor rgb="FFFFF0BD"/>
      <rgbColor rgb="FFDCEB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C"/>
      <rgbColor rgb="FFD8EFD8"/>
      <rgbColor rgb="FFF3F5F7"/>
      <rgbColor rgb="FFF8FAFC"/>
      <rgbColor rgb="FFFF99CC"/>
      <rgbColor rgb="FFCC99FF"/>
      <rgbColor rgb="FFF7D4BC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M5" activeCellId="0" sqref="M:M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4.06"/>
    <col collapsed="false" customWidth="true" hidden="false" outlineLevel="0" max="3" min="2" style="0" width="14.76"/>
    <col collapsed="false" customWidth="true" hidden="false" outlineLevel="0" max="4" min="4" style="0" width="12.49"/>
    <col collapsed="false" customWidth="true" hidden="false" outlineLevel="0" max="5" min="5" style="0" width="18.16"/>
    <col collapsed="false" customWidth="true" hidden="false" outlineLevel="0" max="6" min="6" style="0" width="17.03"/>
    <col collapsed="false" customWidth="true" hidden="false" outlineLevel="0" max="7" min="7" style="0" width="13.62"/>
    <col collapsed="false" customWidth="true" hidden="false" outlineLevel="0" max="8" min="8" style="0" width="12.49"/>
    <col collapsed="false" customWidth="true" hidden="false" outlineLevel="0" max="9" min="9" style="0" width="14.76"/>
    <col collapsed="false" customWidth="true" hidden="false" outlineLevel="0" max="10" min="10" style="0" width="17.03"/>
    <col collapsed="false" customWidth="true" hidden="false" outlineLevel="0" max="11" min="11" style="0" width="20.43"/>
    <col collapsed="false" customWidth="true" hidden="false" outlineLevel="0" max="12" min="12" style="0" width="24.98"/>
    <col collapsed="false" customWidth="true" hidden="false" outlineLevel="0" max="13" min="13" style="0" width="7.3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</row>
    <row r="5" customFormat="false" ht="54" hidden="false" customHeight="true" outlineLevel="0" collapsed="false">
      <c r="A5" s="4" t="s">
        <v>14</v>
      </c>
      <c r="B5" s="4" t="n">
        <v>8</v>
      </c>
      <c r="C5" s="4" t="n">
        <f aca="false">B5+1</f>
        <v>9</v>
      </c>
      <c r="D5" s="4" t="n">
        <v>27</v>
      </c>
      <c r="E5" s="4" t="n">
        <v>20</v>
      </c>
      <c r="F5" s="4" t="n">
        <f aca="false">D5-E5+2</f>
        <v>9</v>
      </c>
      <c r="G5" s="5" t="str">
        <f aca="false">IF(C5=F5,"OK","CHECK")</f>
        <v>OK</v>
      </c>
      <c r="H5" s="4" t="n">
        <v>9</v>
      </c>
      <c r="I5" s="5" t="str">
        <f aca="false">IF(C5=H5,"OK","REVIEW")</f>
        <v>OK</v>
      </c>
      <c r="J5" s="4" t="n">
        <v>10</v>
      </c>
      <c r="K5" s="5" t="s">
        <v>15</v>
      </c>
      <c r="L5" s="4" t="s">
        <v>16</v>
      </c>
      <c r="M5" s="4"/>
    </row>
    <row r="6" customFormat="false" ht="54" hidden="false" customHeight="true" outlineLevel="0" collapsed="false">
      <c r="A6" s="6" t="s">
        <v>17</v>
      </c>
      <c r="B6" s="6" t="n">
        <v>3</v>
      </c>
      <c r="C6" s="6" t="n">
        <f aca="false">B6+1</f>
        <v>4</v>
      </c>
      <c r="D6" s="6" t="n">
        <v>11</v>
      </c>
      <c r="E6" s="6" t="n">
        <v>9</v>
      </c>
      <c r="F6" s="6" t="n">
        <f aca="false">D6-E6+2</f>
        <v>4</v>
      </c>
      <c r="G6" s="5" t="str">
        <f aca="false">IF(C6=F6,"OK","CHECK")</f>
        <v>OK</v>
      </c>
      <c r="H6" s="6" t="n">
        <v>4</v>
      </c>
      <c r="I6" s="5" t="str">
        <f aca="false">IF(C6=H6,"OK","REVIEW")</f>
        <v>OK</v>
      </c>
      <c r="J6" s="6" t="n">
        <v>4</v>
      </c>
      <c r="K6" s="5" t="s">
        <v>15</v>
      </c>
      <c r="L6" s="6" t="s">
        <v>18</v>
      </c>
      <c r="M6" s="6"/>
    </row>
    <row r="7" customFormat="false" ht="54" hidden="false" customHeight="true" outlineLevel="0" collapsed="false">
      <c r="A7" s="4" t="s">
        <v>19</v>
      </c>
      <c r="B7" s="4" t="n">
        <v>8</v>
      </c>
      <c r="C7" s="4" t="n">
        <f aca="false">B7+1</f>
        <v>9</v>
      </c>
      <c r="D7" s="4" t="n">
        <v>25</v>
      </c>
      <c r="E7" s="4" t="n">
        <v>18</v>
      </c>
      <c r="F7" s="4" t="n">
        <f aca="false">D7-E7+2</f>
        <v>9</v>
      </c>
      <c r="G7" s="5" t="str">
        <f aca="false">IF(C7=F7,"OK","CHECK")</f>
        <v>OK</v>
      </c>
      <c r="H7" s="4" t="n">
        <v>9</v>
      </c>
      <c r="I7" s="5" t="str">
        <f aca="false">IF(C7=H7,"OK","REVIEW")</f>
        <v>OK</v>
      </c>
      <c r="J7" s="4" t="n">
        <v>9</v>
      </c>
      <c r="K7" s="5" t="s">
        <v>15</v>
      </c>
      <c r="L7" s="4" t="s">
        <v>20</v>
      </c>
      <c r="M7" s="4"/>
    </row>
    <row r="8" customFormat="false" ht="54" hidden="false" customHeight="true" outlineLevel="0" collapsed="false">
      <c r="A8" s="6" t="s">
        <v>21</v>
      </c>
      <c r="B8" s="6" t="n">
        <v>2</v>
      </c>
      <c r="C8" s="6" t="n">
        <f aca="false">B8+1</f>
        <v>3</v>
      </c>
      <c r="D8" s="6" t="n">
        <v>9</v>
      </c>
      <c r="E8" s="6" t="n">
        <v>8</v>
      </c>
      <c r="F8" s="6" t="n">
        <f aca="false">D8-E8+2</f>
        <v>3</v>
      </c>
      <c r="G8" s="5" t="str">
        <f aca="false">IF(C8=F8,"OK","CHECK")</f>
        <v>OK</v>
      </c>
      <c r="H8" s="6" t="n">
        <v>3</v>
      </c>
      <c r="I8" s="5" t="str">
        <f aca="false">IF(C8=H8,"OK","REVIEW")</f>
        <v>OK</v>
      </c>
      <c r="J8" s="6" t="n">
        <v>3</v>
      </c>
      <c r="K8" s="5" t="s">
        <v>15</v>
      </c>
      <c r="L8" s="6" t="s">
        <v>22</v>
      </c>
      <c r="M8" s="6"/>
    </row>
    <row r="9" customFormat="false" ht="54" hidden="false" customHeight="true" outlineLevel="0" collapsed="false">
      <c r="A9" s="4" t="s">
        <v>23</v>
      </c>
      <c r="B9" s="4" t="n">
        <v>3</v>
      </c>
      <c r="C9" s="4" t="n">
        <f aca="false">B9+1</f>
        <v>4</v>
      </c>
      <c r="D9" s="4" t="n">
        <v>12</v>
      </c>
      <c r="E9" s="4" t="n">
        <v>10</v>
      </c>
      <c r="F9" s="4" t="n">
        <f aca="false">D9-E9+2</f>
        <v>4</v>
      </c>
      <c r="G9" s="5" t="str">
        <f aca="false">IF(C9=F9,"OK","CHECK")</f>
        <v>OK</v>
      </c>
      <c r="H9" s="4" t="n">
        <v>4</v>
      </c>
      <c r="I9" s="5" t="str">
        <f aca="false">IF(C9=H9,"OK","REVIEW")</f>
        <v>OK</v>
      </c>
      <c r="J9" s="4" t="n">
        <v>4</v>
      </c>
      <c r="K9" s="5" t="s">
        <v>15</v>
      </c>
      <c r="L9" s="4" t="s">
        <v>24</v>
      </c>
      <c r="M9" s="4"/>
    </row>
    <row r="10" customFormat="false" ht="45" hidden="false" customHeight="true" outlineLevel="0" collapsed="false">
      <c r="A10" s="7" t="s">
        <v>25</v>
      </c>
      <c r="B10" s="7" t="n">
        <f aca="false">SUM(B5:B9)</f>
        <v>24</v>
      </c>
      <c r="C10" s="7" t="n">
        <f aca="false">SUM(C5:C9)</f>
        <v>29</v>
      </c>
      <c r="D10" s="7" t="n">
        <f aca="false">SUM(D5:D9)</f>
        <v>84</v>
      </c>
      <c r="E10" s="7" t="n">
        <f aca="false">SUM(E5:E9)</f>
        <v>65</v>
      </c>
      <c r="F10" s="7" t="s">
        <v>26</v>
      </c>
      <c r="G10" s="7" t="s">
        <v>27</v>
      </c>
      <c r="H10" s="7" t="n">
        <f aca="false">SUM(H5:H9)</f>
        <v>29</v>
      </c>
      <c r="I10" s="7" t="s">
        <v>26</v>
      </c>
      <c r="J10" s="7" t="n">
        <f aca="false">SUM(J5:J9)</f>
        <v>30</v>
      </c>
      <c r="K10" s="7" t="s">
        <v>28</v>
      </c>
      <c r="L10" s="7" t="s">
        <v>29</v>
      </c>
      <c r="M10" s="7"/>
    </row>
    <row r="12" customFormat="false" ht="15" hidden="false" customHeight="false" outlineLevel="0" collapsed="false">
      <c r="A12" s="8" t="s">
        <v>30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32" hidden="false" customHeight="true" outlineLevel="0" collapsed="false">
      <c r="A13" s="9" t="s">
        <v>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32" hidden="false" customHeight="true" outlineLevel="0" collapsed="false">
      <c r="A14" s="10" t="s">
        <v>32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42" hidden="false" customHeight="true" outlineLevel="0" collapsed="false">
      <c r="A15" s="9" t="s">
        <v>33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32" hidden="false" customHeight="true" outlineLevel="0" collapsed="false">
      <c r="A16" s="10" t="s">
        <v>34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32" hidden="false" customHeight="true" outlineLevel="0" collapsed="false">
      <c r="A17" s="9" t="s">
        <v>35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</sheetData>
  <mergeCells count="8">
    <mergeCell ref="A1:M1"/>
    <mergeCell ref="A2:M2"/>
    <mergeCell ref="A12:M12"/>
    <mergeCell ref="A13:M13"/>
    <mergeCell ref="A14:M14"/>
    <mergeCell ref="A15:M15"/>
    <mergeCell ref="A16:M16"/>
    <mergeCell ref="A17:M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M:M 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2.92"/>
    <col collapsed="false" customWidth="true" hidden="false" outlineLevel="0" max="2" min="2" style="0" width="10.21"/>
    <col collapsed="false" customWidth="true" hidden="false" outlineLevel="0" max="3" min="3" style="0" width="54.49"/>
    <col collapsed="false" customWidth="true" hidden="false" outlineLevel="0" max="4" min="4" style="0" width="47.68"/>
    <col collapsed="false" customWidth="true" hidden="false" outlineLevel="0" max="5" min="5" style="0" width="43.14"/>
    <col collapsed="false" customWidth="true" hidden="false" outlineLevel="0" max="6" min="6" style="0" width="56.76"/>
    <col collapsed="false" customWidth="true" hidden="false" outlineLevel="0" max="7" min="7" style="0" width="18.16"/>
    <col collapsed="false" customWidth="true" hidden="false" outlineLevel="0" max="8" min="8" style="0" width="43.14"/>
  </cols>
  <sheetData>
    <row r="1" customFormat="false" ht="30" hidden="false" customHeight="true" outlineLevel="0" collapsed="false">
      <c r="A1" s="11" t="s">
        <v>36</v>
      </c>
      <c r="B1" s="11"/>
      <c r="C1" s="11"/>
      <c r="D1" s="11"/>
      <c r="E1" s="11"/>
      <c r="F1" s="11"/>
      <c r="G1" s="11"/>
      <c r="H1" s="11"/>
    </row>
    <row r="2" customFormat="false" ht="36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</row>
    <row r="4" customFormat="false" ht="34" hidden="false" customHeight="true" outlineLevel="0" collapsed="false">
      <c r="A4" s="3" t="s">
        <v>2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12</v>
      </c>
      <c r="H4" s="3" t="s">
        <v>43</v>
      </c>
    </row>
    <row r="5" customFormat="false" ht="52" hidden="false" customHeight="true" outlineLevel="0" collapsed="false">
      <c r="A5" s="12" t="s">
        <v>14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5" t="s">
        <v>49</v>
      </c>
      <c r="H5" s="12" t="s">
        <v>50</v>
      </c>
    </row>
    <row r="6" customFormat="false" ht="52" hidden="false" customHeight="true" outlineLevel="0" collapsed="false">
      <c r="A6" s="13" t="s">
        <v>14</v>
      </c>
      <c r="B6" s="13" t="s">
        <v>51</v>
      </c>
      <c r="C6" s="13" t="s">
        <v>52</v>
      </c>
      <c r="D6" s="13" t="s">
        <v>53</v>
      </c>
      <c r="E6" s="13" t="s">
        <v>54</v>
      </c>
      <c r="F6" s="13" t="s">
        <v>55</v>
      </c>
      <c r="G6" s="5" t="s">
        <v>49</v>
      </c>
      <c r="H6" s="13" t="s">
        <v>50</v>
      </c>
    </row>
    <row r="7" customFormat="false" ht="52" hidden="false" customHeight="true" outlineLevel="0" collapsed="false">
      <c r="A7" s="12" t="s">
        <v>14</v>
      </c>
      <c r="B7" s="12" t="s">
        <v>56</v>
      </c>
      <c r="C7" s="12" t="s">
        <v>57</v>
      </c>
      <c r="D7" s="12" t="s">
        <v>58</v>
      </c>
      <c r="E7" s="12" t="s">
        <v>59</v>
      </c>
      <c r="F7" s="12" t="s">
        <v>60</v>
      </c>
      <c r="G7" s="5" t="s">
        <v>49</v>
      </c>
      <c r="H7" s="12" t="s">
        <v>50</v>
      </c>
    </row>
    <row r="8" customFormat="false" ht="52" hidden="false" customHeight="true" outlineLevel="0" collapsed="false">
      <c r="A8" s="13" t="s">
        <v>14</v>
      </c>
      <c r="B8" s="13" t="s">
        <v>61</v>
      </c>
      <c r="C8" s="13" t="s">
        <v>62</v>
      </c>
      <c r="D8" s="13" t="s">
        <v>63</v>
      </c>
      <c r="E8" s="13" t="s">
        <v>64</v>
      </c>
      <c r="F8" s="13" t="s">
        <v>65</v>
      </c>
      <c r="G8" s="5" t="s">
        <v>49</v>
      </c>
      <c r="H8" s="13" t="s">
        <v>50</v>
      </c>
    </row>
    <row r="9" customFormat="false" ht="52" hidden="false" customHeight="true" outlineLevel="0" collapsed="false">
      <c r="A9" s="12" t="s">
        <v>14</v>
      </c>
      <c r="B9" s="12" t="s">
        <v>66</v>
      </c>
      <c r="C9" s="12" t="s">
        <v>67</v>
      </c>
      <c r="D9" s="12" t="s">
        <v>68</v>
      </c>
      <c r="E9" s="12" t="s">
        <v>69</v>
      </c>
      <c r="F9" s="12" t="s">
        <v>70</v>
      </c>
      <c r="G9" s="5" t="s">
        <v>49</v>
      </c>
      <c r="H9" s="12" t="s">
        <v>50</v>
      </c>
    </row>
    <row r="10" customFormat="false" ht="52" hidden="false" customHeight="true" outlineLevel="0" collapsed="false">
      <c r="A10" s="13" t="s">
        <v>14</v>
      </c>
      <c r="B10" s="13" t="s">
        <v>71</v>
      </c>
      <c r="C10" s="13" t="s">
        <v>72</v>
      </c>
      <c r="D10" s="13" t="s">
        <v>73</v>
      </c>
      <c r="E10" s="13" t="s">
        <v>74</v>
      </c>
      <c r="F10" s="13" t="s">
        <v>75</v>
      </c>
      <c r="G10" s="5" t="s">
        <v>49</v>
      </c>
      <c r="H10" s="13" t="s">
        <v>50</v>
      </c>
    </row>
    <row r="11" customFormat="false" ht="52" hidden="false" customHeight="true" outlineLevel="0" collapsed="false">
      <c r="A11" s="12" t="s">
        <v>14</v>
      </c>
      <c r="B11" s="12" t="s">
        <v>76</v>
      </c>
      <c r="C11" s="12" t="s">
        <v>77</v>
      </c>
      <c r="D11" s="12" t="s">
        <v>78</v>
      </c>
      <c r="E11" s="12" t="s">
        <v>79</v>
      </c>
      <c r="F11" s="12" t="s">
        <v>80</v>
      </c>
      <c r="G11" s="5" t="s">
        <v>49</v>
      </c>
      <c r="H11" s="12" t="s">
        <v>50</v>
      </c>
    </row>
    <row r="12" customFormat="false" ht="52" hidden="false" customHeight="true" outlineLevel="0" collapsed="false">
      <c r="A12" s="13" t="s">
        <v>14</v>
      </c>
      <c r="B12" s="13" t="s">
        <v>81</v>
      </c>
      <c r="C12" s="13" t="s">
        <v>82</v>
      </c>
      <c r="D12" s="13" t="s">
        <v>83</v>
      </c>
      <c r="E12" s="13" t="s">
        <v>84</v>
      </c>
      <c r="F12" s="13" t="s">
        <v>85</v>
      </c>
      <c r="G12" s="5" t="s">
        <v>49</v>
      </c>
      <c r="H12" s="13" t="s">
        <v>50</v>
      </c>
    </row>
    <row r="13" customFormat="false" ht="52" hidden="false" customHeight="true" outlineLevel="0" collapsed="false">
      <c r="A13" s="12" t="s">
        <v>14</v>
      </c>
      <c r="B13" s="12" t="s">
        <v>86</v>
      </c>
      <c r="C13" s="12" t="s">
        <v>87</v>
      </c>
      <c r="D13" s="12" t="s">
        <v>88</v>
      </c>
      <c r="E13" s="12" t="s">
        <v>89</v>
      </c>
      <c r="F13" s="12" t="s">
        <v>90</v>
      </c>
      <c r="G13" s="5" t="s">
        <v>49</v>
      </c>
      <c r="H13" s="12" t="s">
        <v>50</v>
      </c>
    </row>
    <row r="14" customFormat="false" ht="52" hidden="false" customHeight="true" outlineLevel="0" collapsed="false">
      <c r="A14" s="13" t="s">
        <v>17</v>
      </c>
      <c r="B14" s="13" t="s">
        <v>44</v>
      </c>
      <c r="C14" s="13" t="s">
        <v>45</v>
      </c>
      <c r="D14" s="13" t="s">
        <v>91</v>
      </c>
      <c r="E14" s="13" t="s">
        <v>92</v>
      </c>
      <c r="F14" s="13" t="s">
        <v>93</v>
      </c>
      <c r="G14" s="5" t="s">
        <v>49</v>
      </c>
      <c r="H14" s="13" t="s">
        <v>94</v>
      </c>
    </row>
    <row r="15" customFormat="false" ht="52" hidden="false" customHeight="true" outlineLevel="0" collapsed="false">
      <c r="A15" s="12" t="s">
        <v>17</v>
      </c>
      <c r="B15" s="12" t="s">
        <v>51</v>
      </c>
      <c r="C15" s="12" t="s">
        <v>95</v>
      </c>
      <c r="D15" s="12" t="s">
        <v>96</v>
      </c>
      <c r="E15" s="12" t="s">
        <v>97</v>
      </c>
      <c r="F15" s="12" t="s">
        <v>98</v>
      </c>
      <c r="G15" s="5" t="s">
        <v>49</v>
      </c>
      <c r="H15" s="12" t="s">
        <v>94</v>
      </c>
    </row>
    <row r="16" customFormat="false" ht="52" hidden="false" customHeight="true" outlineLevel="0" collapsed="false">
      <c r="A16" s="13" t="s">
        <v>17</v>
      </c>
      <c r="B16" s="13" t="s">
        <v>56</v>
      </c>
      <c r="C16" s="13" t="s">
        <v>99</v>
      </c>
      <c r="D16" s="13" t="s">
        <v>100</v>
      </c>
      <c r="E16" s="13" t="s">
        <v>101</v>
      </c>
      <c r="F16" s="13" t="s">
        <v>102</v>
      </c>
      <c r="G16" s="5" t="s">
        <v>49</v>
      </c>
      <c r="H16" s="13" t="s">
        <v>94</v>
      </c>
    </row>
    <row r="17" customFormat="false" ht="52" hidden="false" customHeight="true" outlineLevel="0" collapsed="false">
      <c r="A17" s="12" t="s">
        <v>17</v>
      </c>
      <c r="B17" s="12" t="s">
        <v>61</v>
      </c>
      <c r="C17" s="12" t="s">
        <v>103</v>
      </c>
      <c r="D17" s="12" t="s">
        <v>104</v>
      </c>
      <c r="E17" s="12" t="s">
        <v>105</v>
      </c>
      <c r="F17" s="12" t="s">
        <v>106</v>
      </c>
      <c r="G17" s="5" t="s">
        <v>49</v>
      </c>
      <c r="H17" s="12" t="s">
        <v>94</v>
      </c>
    </row>
    <row r="18" customFormat="false" ht="52" hidden="false" customHeight="true" outlineLevel="0" collapsed="false">
      <c r="A18" s="13" t="s">
        <v>19</v>
      </c>
      <c r="B18" s="13" t="s">
        <v>107</v>
      </c>
      <c r="C18" s="13" t="s">
        <v>108</v>
      </c>
      <c r="D18" s="13" t="s">
        <v>109</v>
      </c>
      <c r="E18" s="13" t="s">
        <v>110</v>
      </c>
      <c r="F18" s="13" t="s">
        <v>111</v>
      </c>
      <c r="G18" s="5" t="s">
        <v>49</v>
      </c>
      <c r="H18" s="13" t="s">
        <v>112</v>
      </c>
    </row>
    <row r="19" customFormat="false" ht="52" hidden="false" customHeight="true" outlineLevel="0" collapsed="false">
      <c r="A19" s="12" t="s">
        <v>19</v>
      </c>
      <c r="B19" s="12" t="s">
        <v>113</v>
      </c>
      <c r="C19" s="12" t="s">
        <v>114</v>
      </c>
      <c r="D19" s="12" t="s">
        <v>115</v>
      </c>
      <c r="E19" s="12" t="s">
        <v>116</v>
      </c>
      <c r="F19" s="12" t="s">
        <v>117</v>
      </c>
      <c r="G19" s="5" t="s">
        <v>49</v>
      </c>
      <c r="H19" s="12" t="s">
        <v>112</v>
      </c>
    </row>
    <row r="20" customFormat="false" ht="52" hidden="false" customHeight="true" outlineLevel="0" collapsed="false">
      <c r="A20" s="13" t="s">
        <v>19</v>
      </c>
      <c r="B20" s="13" t="s">
        <v>118</v>
      </c>
      <c r="C20" s="13" t="s">
        <v>119</v>
      </c>
      <c r="D20" s="13" t="s">
        <v>120</v>
      </c>
      <c r="E20" s="13" t="s">
        <v>116</v>
      </c>
      <c r="F20" s="13" t="s">
        <v>121</v>
      </c>
      <c r="G20" s="5" t="s">
        <v>49</v>
      </c>
      <c r="H20" s="13" t="s">
        <v>112</v>
      </c>
    </row>
    <row r="21" customFormat="false" ht="52" hidden="false" customHeight="true" outlineLevel="0" collapsed="false">
      <c r="A21" s="12" t="s">
        <v>19</v>
      </c>
      <c r="B21" s="12" t="s">
        <v>122</v>
      </c>
      <c r="C21" s="12" t="s">
        <v>123</v>
      </c>
      <c r="D21" s="12" t="s">
        <v>124</v>
      </c>
      <c r="E21" s="12" t="s">
        <v>125</v>
      </c>
      <c r="F21" s="12" t="s">
        <v>126</v>
      </c>
      <c r="G21" s="5" t="s">
        <v>49</v>
      </c>
      <c r="H21" s="12" t="s">
        <v>112</v>
      </c>
    </row>
    <row r="22" customFormat="false" ht="52" hidden="false" customHeight="true" outlineLevel="0" collapsed="false">
      <c r="A22" s="13" t="s">
        <v>19</v>
      </c>
      <c r="B22" s="13" t="s">
        <v>127</v>
      </c>
      <c r="C22" s="13" t="s">
        <v>128</v>
      </c>
      <c r="D22" s="13" t="s">
        <v>129</v>
      </c>
      <c r="E22" s="13" t="s">
        <v>130</v>
      </c>
      <c r="F22" s="13" t="s">
        <v>131</v>
      </c>
      <c r="G22" s="5" t="s">
        <v>49</v>
      </c>
      <c r="H22" s="13" t="s">
        <v>112</v>
      </c>
    </row>
    <row r="23" customFormat="false" ht="52" hidden="false" customHeight="true" outlineLevel="0" collapsed="false">
      <c r="A23" s="12" t="s">
        <v>19</v>
      </c>
      <c r="B23" s="12" t="s">
        <v>132</v>
      </c>
      <c r="C23" s="12" t="s">
        <v>133</v>
      </c>
      <c r="D23" s="12" t="s">
        <v>134</v>
      </c>
      <c r="E23" s="12" t="s">
        <v>135</v>
      </c>
      <c r="F23" s="12" t="s">
        <v>136</v>
      </c>
      <c r="G23" s="5" t="s">
        <v>49</v>
      </c>
      <c r="H23" s="12" t="s">
        <v>112</v>
      </c>
    </row>
    <row r="24" customFormat="false" ht="52" hidden="false" customHeight="true" outlineLevel="0" collapsed="false">
      <c r="A24" s="13" t="s">
        <v>19</v>
      </c>
      <c r="B24" s="13" t="s">
        <v>137</v>
      </c>
      <c r="C24" s="13" t="s">
        <v>138</v>
      </c>
      <c r="D24" s="13" t="s">
        <v>139</v>
      </c>
      <c r="E24" s="13" t="s">
        <v>140</v>
      </c>
      <c r="F24" s="13" t="s">
        <v>141</v>
      </c>
      <c r="G24" s="5" t="s">
        <v>49</v>
      </c>
      <c r="H24" s="13" t="s">
        <v>112</v>
      </c>
    </row>
    <row r="25" customFormat="false" ht="52" hidden="false" customHeight="true" outlineLevel="0" collapsed="false">
      <c r="A25" s="12" t="s">
        <v>19</v>
      </c>
      <c r="B25" s="12" t="s">
        <v>142</v>
      </c>
      <c r="C25" s="12" t="s">
        <v>143</v>
      </c>
      <c r="D25" s="12" t="s">
        <v>144</v>
      </c>
      <c r="E25" s="12" t="s">
        <v>145</v>
      </c>
      <c r="F25" s="12" t="s">
        <v>146</v>
      </c>
      <c r="G25" s="5" t="s">
        <v>49</v>
      </c>
      <c r="H25" s="12" t="s">
        <v>112</v>
      </c>
    </row>
    <row r="26" customFormat="false" ht="52" hidden="false" customHeight="true" outlineLevel="0" collapsed="false">
      <c r="A26" s="13" t="s">
        <v>19</v>
      </c>
      <c r="B26" s="13" t="s">
        <v>147</v>
      </c>
      <c r="C26" s="13" t="s">
        <v>148</v>
      </c>
      <c r="D26" s="13" t="s">
        <v>149</v>
      </c>
      <c r="E26" s="13" t="s">
        <v>150</v>
      </c>
      <c r="F26" s="13" t="s">
        <v>151</v>
      </c>
      <c r="G26" s="5" t="s">
        <v>49</v>
      </c>
      <c r="H26" s="13" t="s">
        <v>112</v>
      </c>
    </row>
    <row r="27" customFormat="false" ht="52" hidden="false" customHeight="true" outlineLevel="0" collapsed="false">
      <c r="A27" s="12" t="s">
        <v>21</v>
      </c>
      <c r="B27" s="12" t="s">
        <v>44</v>
      </c>
      <c r="C27" s="12" t="s">
        <v>119</v>
      </c>
      <c r="D27" s="12" t="s">
        <v>152</v>
      </c>
      <c r="E27" s="12" t="s">
        <v>153</v>
      </c>
      <c r="F27" s="12" t="s">
        <v>154</v>
      </c>
      <c r="G27" s="5" t="s">
        <v>49</v>
      </c>
      <c r="H27" s="12" t="s">
        <v>50</v>
      </c>
    </row>
    <row r="28" customFormat="false" ht="52" hidden="false" customHeight="true" outlineLevel="0" collapsed="false">
      <c r="A28" s="13" t="s">
        <v>21</v>
      </c>
      <c r="B28" s="13" t="s">
        <v>51</v>
      </c>
      <c r="C28" s="13" t="s">
        <v>123</v>
      </c>
      <c r="D28" s="13" t="s">
        <v>155</v>
      </c>
      <c r="E28" s="13" t="s">
        <v>156</v>
      </c>
      <c r="F28" s="13" t="s">
        <v>157</v>
      </c>
      <c r="G28" s="5" t="s">
        <v>49</v>
      </c>
      <c r="H28" s="13" t="s">
        <v>50</v>
      </c>
    </row>
    <row r="29" customFormat="false" ht="52" hidden="false" customHeight="true" outlineLevel="0" collapsed="false">
      <c r="A29" s="12" t="s">
        <v>21</v>
      </c>
      <c r="B29" s="12" t="s">
        <v>56</v>
      </c>
      <c r="C29" s="12" t="s">
        <v>158</v>
      </c>
      <c r="D29" s="12" t="s">
        <v>159</v>
      </c>
      <c r="E29" s="12" t="s">
        <v>160</v>
      </c>
      <c r="F29" s="12" t="s">
        <v>161</v>
      </c>
      <c r="G29" s="5" t="s">
        <v>49</v>
      </c>
      <c r="H29" s="12" t="s">
        <v>50</v>
      </c>
    </row>
    <row r="30" customFormat="false" ht="52" hidden="false" customHeight="true" outlineLevel="0" collapsed="false">
      <c r="A30" s="13" t="s">
        <v>23</v>
      </c>
      <c r="B30" s="13" t="s">
        <v>44</v>
      </c>
      <c r="C30" s="13" t="s">
        <v>119</v>
      </c>
      <c r="D30" s="13" t="s">
        <v>162</v>
      </c>
      <c r="E30" s="13" t="s">
        <v>163</v>
      </c>
      <c r="F30" s="13" t="s">
        <v>164</v>
      </c>
      <c r="G30" s="5" t="s">
        <v>49</v>
      </c>
      <c r="H30" s="13" t="s">
        <v>165</v>
      </c>
    </row>
    <row r="31" customFormat="false" ht="52" hidden="false" customHeight="true" outlineLevel="0" collapsed="false">
      <c r="A31" s="12" t="s">
        <v>23</v>
      </c>
      <c r="B31" s="12" t="s">
        <v>51</v>
      </c>
      <c r="C31" s="12" t="s">
        <v>123</v>
      </c>
      <c r="D31" s="12" t="s">
        <v>166</v>
      </c>
      <c r="E31" s="12" t="s">
        <v>163</v>
      </c>
      <c r="F31" s="12" t="s">
        <v>167</v>
      </c>
      <c r="G31" s="5" t="s">
        <v>49</v>
      </c>
      <c r="H31" s="12" t="s">
        <v>165</v>
      </c>
    </row>
    <row r="32" customFormat="false" ht="52" hidden="false" customHeight="true" outlineLevel="0" collapsed="false">
      <c r="A32" s="13" t="s">
        <v>23</v>
      </c>
      <c r="B32" s="13" t="s">
        <v>56</v>
      </c>
      <c r="C32" s="13" t="s">
        <v>128</v>
      </c>
      <c r="D32" s="13" t="s">
        <v>168</v>
      </c>
      <c r="E32" s="13" t="s">
        <v>169</v>
      </c>
      <c r="F32" s="13" t="s">
        <v>170</v>
      </c>
      <c r="G32" s="5" t="s">
        <v>49</v>
      </c>
      <c r="H32" s="13" t="s">
        <v>165</v>
      </c>
    </row>
    <row r="33" customFormat="false" ht="52" hidden="false" customHeight="true" outlineLevel="0" collapsed="false">
      <c r="A33" s="12" t="s">
        <v>23</v>
      </c>
      <c r="B33" s="12" t="s">
        <v>61</v>
      </c>
      <c r="C33" s="12" t="s">
        <v>171</v>
      </c>
      <c r="D33" s="12" t="s">
        <v>172</v>
      </c>
      <c r="E33" s="12" t="s">
        <v>173</v>
      </c>
      <c r="F33" s="12" t="s">
        <v>174</v>
      </c>
      <c r="G33" s="5" t="s">
        <v>49</v>
      </c>
      <c r="H33" s="12" t="s">
        <v>165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M:M 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32.92"/>
    <col collapsed="false" customWidth="true" hidden="false" outlineLevel="0" max="3" min="3" style="0" width="11.35"/>
    <col collapsed="false" customWidth="true" hidden="false" outlineLevel="0" max="4" min="4" style="0" width="23.84"/>
    <col collapsed="false" customWidth="true" hidden="false" outlineLevel="0" max="5" min="5" style="0" width="54.49"/>
    <col collapsed="false" customWidth="true" hidden="false" outlineLevel="0" max="6" min="6" style="0" width="65.84"/>
  </cols>
  <sheetData>
    <row r="1" customFormat="false" ht="30" hidden="false" customHeight="true" outlineLevel="0" collapsed="false">
      <c r="A1" s="11" t="s">
        <v>175</v>
      </c>
      <c r="B1" s="11"/>
      <c r="C1" s="11"/>
      <c r="D1" s="11"/>
      <c r="E1" s="11"/>
      <c r="F1" s="11"/>
    </row>
    <row r="2" customFormat="false" ht="30" hidden="false" customHeight="true" outlineLevel="0" collapsed="false">
      <c r="A2" s="2" t="s">
        <v>176</v>
      </c>
      <c r="B2" s="2"/>
      <c r="C2" s="2"/>
      <c r="D2" s="2"/>
      <c r="E2" s="2"/>
      <c r="F2" s="2"/>
    </row>
    <row r="4" customFormat="false" ht="34" hidden="false" customHeight="true" outlineLevel="0" collapsed="false">
      <c r="A4" s="3" t="s">
        <v>177</v>
      </c>
      <c r="B4" s="3" t="s">
        <v>2</v>
      </c>
      <c r="C4" s="3" t="s">
        <v>178</v>
      </c>
      <c r="D4" s="3" t="s">
        <v>179</v>
      </c>
      <c r="E4" s="3" t="s">
        <v>180</v>
      </c>
      <c r="F4" s="3" t="s">
        <v>181</v>
      </c>
    </row>
    <row r="5" customFormat="false" ht="30" hidden="false" customHeight="true" outlineLevel="0" collapsed="false">
      <c r="A5" s="14" t="n">
        <v>1</v>
      </c>
      <c r="B5" s="14" t="s">
        <v>14</v>
      </c>
      <c r="C5" s="14" t="s">
        <v>182</v>
      </c>
      <c r="D5" s="14" t="s">
        <v>183</v>
      </c>
      <c r="E5" s="14" t="s">
        <v>184</v>
      </c>
      <c r="F5" s="14" t="s">
        <v>185</v>
      </c>
    </row>
    <row r="6" customFormat="false" ht="30" hidden="false" customHeight="true" outlineLevel="0" collapsed="false">
      <c r="A6" s="13" t="n">
        <v>1</v>
      </c>
      <c r="B6" s="13" t="s">
        <v>14</v>
      </c>
      <c r="C6" s="13" t="s">
        <v>186</v>
      </c>
      <c r="D6" s="15" t="s">
        <v>187</v>
      </c>
      <c r="E6" s="13" t="s">
        <v>188</v>
      </c>
      <c r="F6" s="13" t="s">
        <v>189</v>
      </c>
    </row>
    <row r="7" customFormat="false" ht="30" hidden="false" customHeight="true" outlineLevel="0" collapsed="false">
      <c r="A7" s="13" t="n">
        <v>1</v>
      </c>
      <c r="B7" s="13" t="s">
        <v>14</v>
      </c>
      <c r="C7" s="13" t="s">
        <v>190</v>
      </c>
      <c r="D7" s="16" t="s">
        <v>191</v>
      </c>
      <c r="E7" s="13" t="s">
        <v>192</v>
      </c>
      <c r="F7" s="13" t="s">
        <v>189</v>
      </c>
    </row>
    <row r="8" customFormat="false" ht="30" hidden="false" customHeight="true" outlineLevel="0" collapsed="false">
      <c r="A8" s="13" t="n">
        <v>1</v>
      </c>
      <c r="B8" s="13" t="s">
        <v>14</v>
      </c>
      <c r="C8" s="13" t="s">
        <v>193</v>
      </c>
      <c r="D8" s="15" t="s">
        <v>187</v>
      </c>
      <c r="E8" s="13" t="s">
        <v>194</v>
      </c>
      <c r="F8" s="13" t="s">
        <v>189</v>
      </c>
    </row>
    <row r="9" customFormat="false" ht="30" hidden="false" customHeight="true" outlineLevel="0" collapsed="false">
      <c r="A9" s="13" t="n">
        <v>1</v>
      </c>
      <c r="B9" s="13" t="s">
        <v>14</v>
      </c>
      <c r="C9" s="13" t="s">
        <v>195</v>
      </c>
      <c r="D9" s="16" t="s">
        <v>191</v>
      </c>
      <c r="E9" s="13" t="s">
        <v>196</v>
      </c>
      <c r="F9" s="13" t="s">
        <v>189</v>
      </c>
    </row>
    <row r="10" customFormat="false" ht="30" hidden="false" customHeight="true" outlineLevel="0" collapsed="false">
      <c r="A10" s="13" t="n">
        <v>1</v>
      </c>
      <c r="B10" s="13" t="s">
        <v>14</v>
      </c>
      <c r="C10" s="13" t="s">
        <v>197</v>
      </c>
      <c r="D10" s="15" t="s">
        <v>187</v>
      </c>
      <c r="E10" s="13" t="s">
        <v>198</v>
      </c>
      <c r="F10" s="13" t="s">
        <v>189</v>
      </c>
    </row>
    <row r="11" customFormat="false" ht="30" hidden="false" customHeight="true" outlineLevel="0" collapsed="false">
      <c r="A11" s="13" t="n">
        <v>1</v>
      </c>
      <c r="B11" s="13" t="s">
        <v>14</v>
      </c>
      <c r="C11" s="13" t="s">
        <v>199</v>
      </c>
      <c r="D11" s="16" t="s">
        <v>191</v>
      </c>
      <c r="E11" s="13" t="s">
        <v>200</v>
      </c>
      <c r="F11" s="13" t="s">
        <v>189</v>
      </c>
    </row>
    <row r="12" customFormat="false" ht="30" hidden="false" customHeight="true" outlineLevel="0" collapsed="false">
      <c r="A12" s="13" t="n">
        <v>1</v>
      </c>
      <c r="B12" s="13" t="s">
        <v>14</v>
      </c>
      <c r="C12" s="13" t="s">
        <v>201</v>
      </c>
      <c r="D12" s="15" t="s">
        <v>187</v>
      </c>
      <c r="E12" s="13" t="s">
        <v>202</v>
      </c>
      <c r="F12" s="13" t="s">
        <v>189</v>
      </c>
    </row>
    <row r="13" customFormat="false" ht="30" hidden="false" customHeight="true" outlineLevel="0" collapsed="false">
      <c r="A13" s="13" t="n">
        <v>1</v>
      </c>
      <c r="B13" s="13" t="s">
        <v>14</v>
      </c>
      <c r="C13" s="13" t="s">
        <v>203</v>
      </c>
      <c r="D13" s="16" t="s">
        <v>191</v>
      </c>
      <c r="E13" s="13" t="s">
        <v>204</v>
      </c>
      <c r="F13" s="13" t="s">
        <v>189</v>
      </c>
    </row>
    <row r="14" customFormat="false" ht="30" hidden="false" customHeight="true" outlineLevel="0" collapsed="false">
      <c r="A14" s="13" t="n">
        <v>1</v>
      </c>
      <c r="B14" s="13" t="s">
        <v>14</v>
      </c>
      <c r="C14" s="13" t="s">
        <v>205</v>
      </c>
      <c r="D14" s="15" t="s">
        <v>187</v>
      </c>
      <c r="E14" s="13" t="s">
        <v>206</v>
      </c>
      <c r="F14" s="13" t="s">
        <v>189</v>
      </c>
    </row>
    <row r="15" customFormat="false" ht="30" hidden="false" customHeight="true" outlineLevel="0" collapsed="false">
      <c r="A15" s="13" t="n">
        <v>1</v>
      </c>
      <c r="B15" s="13" t="s">
        <v>14</v>
      </c>
      <c r="C15" s="13" t="s">
        <v>207</v>
      </c>
      <c r="D15" s="16" t="s">
        <v>191</v>
      </c>
      <c r="E15" s="13" t="s">
        <v>208</v>
      </c>
      <c r="F15" s="13" t="s">
        <v>189</v>
      </c>
    </row>
    <row r="16" customFormat="false" ht="30" hidden="false" customHeight="true" outlineLevel="0" collapsed="false">
      <c r="A16" s="13" t="n">
        <v>1</v>
      </c>
      <c r="B16" s="13" t="s">
        <v>14</v>
      </c>
      <c r="C16" s="13" t="s">
        <v>209</v>
      </c>
      <c r="D16" s="15" t="s">
        <v>187</v>
      </c>
      <c r="E16" s="13" t="s">
        <v>210</v>
      </c>
      <c r="F16" s="13" t="s">
        <v>189</v>
      </c>
    </row>
    <row r="17" customFormat="false" ht="30" hidden="false" customHeight="true" outlineLevel="0" collapsed="false">
      <c r="A17" s="13" t="n">
        <v>1</v>
      </c>
      <c r="B17" s="13" t="s">
        <v>14</v>
      </c>
      <c r="C17" s="13" t="s">
        <v>211</v>
      </c>
      <c r="D17" s="17" t="s">
        <v>212</v>
      </c>
      <c r="E17" s="13" t="s">
        <v>213</v>
      </c>
      <c r="F17" s="13" t="s">
        <v>189</v>
      </c>
    </row>
    <row r="18" customFormat="false" ht="30" hidden="false" customHeight="true" outlineLevel="0" collapsed="false">
      <c r="A18" s="13" t="n">
        <v>1</v>
      </c>
      <c r="B18" s="13" t="s">
        <v>14</v>
      </c>
      <c r="C18" s="13" t="s">
        <v>214</v>
      </c>
      <c r="D18" s="15" t="s">
        <v>187</v>
      </c>
      <c r="E18" s="13" t="s">
        <v>215</v>
      </c>
      <c r="F18" s="13" t="s">
        <v>189</v>
      </c>
    </row>
    <row r="19" customFormat="false" ht="30" hidden="false" customHeight="true" outlineLevel="0" collapsed="false">
      <c r="A19" s="13" t="n">
        <v>1</v>
      </c>
      <c r="B19" s="13" t="s">
        <v>14</v>
      </c>
      <c r="C19" s="13" t="s">
        <v>216</v>
      </c>
      <c r="D19" s="16" t="s">
        <v>191</v>
      </c>
      <c r="E19" s="13" t="s">
        <v>217</v>
      </c>
      <c r="F19" s="13" t="s">
        <v>189</v>
      </c>
    </row>
    <row r="20" customFormat="false" ht="30" hidden="false" customHeight="true" outlineLevel="0" collapsed="false">
      <c r="A20" s="13" t="n">
        <v>1</v>
      </c>
      <c r="B20" s="13" t="s">
        <v>14</v>
      </c>
      <c r="C20" s="13" t="s">
        <v>218</v>
      </c>
      <c r="D20" s="17" t="s">
        <v>212</v>
      </c>
      <c r="E20" s="13" t="s">
        <v>219</v>
      </c>
      <c r="F20" s="13" t="s">
        <v>189</v>
      </c>
    </row>
    <row r="21" customFormat="false" ht="30" hidden="false" customHeight="true" outlineLevel="0" collapsed="false">
      <c r="A21" s="13" t="n">
        <v>1</v>
      </c>
      <c r="B21" s="13" t="s">
        <v>14</v>
      </c>
      <c r="C21" s="13" t="s">
        <v>220</v>
      </c>
      <c r="D21" s="15" t="s">
        <v>187</v>
      </c>
      <c r="E21" s="13" t="s">
        <v>221</v>
      </c>
      <c r="F21" s="13" t="s">
        <v>189</v>
      </c>
    </row>
    <row r="22" customFormat="false" ht="30" hidden="false" customHeight="true" outlineLevel="0" collapsed="false">
      <c r="A22" s="13" t="n">
        <v>1</v>
      </c>
      <c r="B22" s="13" t="s">
        <v>14</v>
      </c>
      <c r="C22" s="13" t="s">
        <v>222</v>
      </c>
      <c r="D22" s="16" t="s">
        <v>191</v>
      </c>
      <c r="E22" s="13" t="s">
        <v>223</v>
      </c>
      <c r="F22" s="13" t="s">
        <v>189</v>
      </c>
    </row>
    <row r="23" customFormat="false" ht="30" hidden="false" customHeight="true" outlineLevel="0" collapsed="false">
      <c r="A23" s="13" t="n">
        <v>1</v>
      </c>
      <c r="B23" s="13" t="s">
        <v>14</v>
      </c>
      <c r="C23" s="13" t="s">
        <v>224</v>
      </c>
      <c r="D23" s="18" t="s">
        <v>225</v>
      </c>
      <c r="E23" s="13" t="s">
        <v>226</v>
      </c>
      <c r="F23" s="13" t="s">
        <v>189</v>
      </c>
    </row>
    <row r="24" customFormat="false" ht="30" hidden="false" customHeight="true" outlineLevel="0" collapsed="false">
      <c r="A24" s="14" t="n">
        <v>1</v>
      </c>
      <c r="B24" s="14" t="s">
        <v>14</v>
      </c>
      <c r="C24" s="14" t="s">
        <v>227</v>
      </c>
      <c r="D24" s="14" t="s">
        <v>228</v>
      </c>
      <c r="E24" s="14" t="s">
        <v>229</v>
      </c>
      <c r="F24" s="14" t="s">
        <v>230</v>
      </c>
    </row>
    <row r="25" customFormat="false" ht="30" hidden="false" customHeight="true" outlineLevel="0" collapsed="false">
      <c r="A25" s="14" t="n">
        <v>2</v>
      </c>
      <c r="B25" s="14" t="s">
        <v>17</v>
      </c>
      <c r="C25" s="14" t="s">
        <v>182</v>
      </c>
      <c r="D25" s="14" t="s">
        <v>183</v>
      </c>
      <c r="E25" s="14" t="s">
        <v>184</v>
      </c>
      <c r="F25" s="14" t="s">
        <v>185</v>
      </c>
    </row>
    <row r="26" customFormat="false" ht="30" hidden="false" customHeight="true" outlineLevel="0" collapsed="false">
      <c r="A26" s="13" t="n">
        <v>2</v>
      </c>
      <c r="B26" s="13" t="s">
        <v>17</v>
      </c>
      <c r="C26" s="13" t="s">
        <v>186</v>
      </c>
      <c r="D26" s="15" t="s">
        <v>187</v>
      </c>
      <c r="E26" s="13" t="s">
        <v>231</v>
      </c>
      <c r="F26" s="13" t="s">
        <v>232</v>
      </c>
    </row>
    <row r="27" customFormat="false" ht="30" hidden="false" customHeight="true" outlineLevel="0" collapsed="false">
      <c r="A27" s="13" t="n">
        <v>2</v>
      </c>
      <c r="B27" s="13" t="s">
        <v>17</v>
      </c>
      <c r="C27" s="13" t="s">
        <v>190</v>
      </c>
      <c r="D27" s="16" t="s">
        <v>191</v>
      </c>
      <c r="E27" s="13" t="s">
        <v>233</v>
      </c>
      <c r="F27" s="13" t="s">
        <v>232</v>
      </c>
    </row>
    <row r="28" customFormat="false" ht="30" hidden="false" customHeight="true" outlineLevel="0" collapsed="false">
      <c r="A28" s="13" t="n">
        <v>2</v>
      </c>
      <c r="B28" s="13" t="s">
        <v>17</v>
      </c>
      <c r="C28" s="13" t="s">
        <v>193</v>
      </c>
      <c r="D28" s="15" t="s">
        <v>187</v>
      </c>
      <c r="E28" s="13" t="s">
        <v>234</v>
      </c>
      <c r="F28" s="13" t="s">
        <v>232</v>
      </c>
    </row>
    <row r="29" customFormat="false" ht="30" hidden="false" customHeight="true" outlineLevel="0" collapsed="false">
      <c r="A29" s="13" t="n">
        <v>2</v>
      </c>
      <c r="B29" s="13" t="s">
        <v>17</v>
      </c>
      <c r="C29" s="13" t="s">
        <v>195</v>
      </c>
      <c r="D29" s="15" t="s">
        <v>187</v>
      </c>
      <c r="E29" s="13" t="s">
        <v>235</v>
      </c>
      <c r="F29" s="13" t="s">
        <v>232</v>
      </c>
    </row>
    <row r="30" customFormat="false" ht="30" hidden="false" customHeight="true" outlineLevel="0" collapsed="false">
      <c r="A30" s="13" t="n">
        <v>2</v>
      </c>
      <c r="B30" s="13" t="s">
        <v>17</v>
      </c>
      <c r="C30" s="13" t="s">
        <v>197</v>
      </c>
      <c r="D30" s="16" t="s">
        <v>191</v>
      </c>
      <c r="E30" s="13" t="s">
        <v>236</v>
      </c>
      <c r="F30" s="13" t="s">
        <v>232</v>
      </c>
    </row>
    <row r="31" customFormat="false" ht="30" hidden="false" customHeight="true" outlineLevel="0" collapsed="false">
      <c r="A31" s="13" t="n">
        <v>2</v>
      </c>
      <c r="B31" s="13" t="s">
        <v>17</v>
      </c>
      <c r="C31" s="13" t="s">
        <v>199</v>
      </c>
      <c r="D31" s="17" t="s">
        <v>212</v>
      </c>
      <c r="E31" s="13" t="s">
        <v>237</v>
      </c>
      <c r="F31" s="13" t="s">
        <v>232</v>
      </c>
    </row>
    <row r="32" customFormat="false" ht="30" hidden="false" customHeight="true" outlineLevel="0" collapsed="false">
      <c r="A32" s="13" t="n">
        <v>2</v>
      </c>
      <c r="B32" s="13" t="s">
        <v>17</v>
      </c>
      <c r="C32" s="13" t="s">
        <v>201</v>
      </c>
      <c r="D32" s="18" t="s">
        <v>225</v>
      </c>
      <c r="E32" s="13" t="s">
        <v>238</v>
      </c>
      <c r="F32" s="13" t="s">
        <v>232</v>
      </c>
    </row>
    <row r="33" customFormat="false" ht="30" hidden="false" customHeight="true" outlineLevel="0" collapsed="false">
      <c r="A33" s="14" t="n">
        <v>2</v>
      </c>
      <c r="B33" s="14" t="s">
        <v>17</v>
      </c>
      <c r="C33" s="14" t="s">
        <v>227</v>
      </c>
      <c r="D33" s="14" t="s">
        <v>228</v>
      </c>
      <c r="E33" s="14" t="s">
        <v>229</v>
      </c>
      <c r="F33" s="14" t="s">
        <v>230</v>
      </c>
    </row>
    <row r="34" customFormat="false" ht="30" hidden="false" customHeight="true" outlineLevel="0" collapsed="false">
      <c r="A34" s="14" t="n">
        <v>3</v>
      </c>
      <c r="B34" s="14" t="s">
        <v>19</v>
      </c>
      <c r="C34" s="14" t="s">
        <v>182</v>
      </c>
      <c r="D34" s="14" t="s">
        <v>183</v>
      </c>
      <c r="E34" s="14" t="s">
        <v>184</v>
      </c>
      <c r="F34" s="14" t="s">
        <v>185</v>
      </c>
    </row>
    <row r="35" customFormat="false" ht="30" hidden="false" customHeight="true" outlineLevel="0" collapsed="false">
      <c r="A35" s="13" t="n">
        <v>3</v>
      </c>
      <c r="B35" s="13" t="s">
        <v>19</v>
      </c>
      <c r="C35" s="13" t="s">
        <v>186</v>
      </c>
      <c r="D35" s="15" t="s">
        <v>187</v>
      </c>
      <c r="E35" s="13" t="s">
        <v>239</v>
      </c>
      <c r="F35" s="13" t="s">
        <v>240</v>
      </c>
    </row>
    <row r="36" customFormat="false" ht="30" hidden="false" customHeight="true" outlineLevel="0" collapsed="false">
      <c r="A36" s="13" t="n">
        <v>3</v>
      </c>
      <c r="B36" s="13" t="s">
        <v>19</v>
      </c>
      <c r="C36" s="13" t="s">
        <v>190</v>
      </c>
      <c r="D36" s="15" t="s">
        <v>187</v>
      </c>
      <c r="E36" s="13" t="s">
        <v>241</v>
      </c>
      <c r="F36" s="13" t="s">
        <v>240</v>
      </c>
    </row>
    <row r="37" customFormat="false" ht="30" hidden="false" customHeight="true" outlineLevel="0" collapsed="false">
      <c r="A37" s="13" t="n">
        <v>3</v>
      </c>
      <c r="B37" s="13" t="s">
        <v>19</v>
      </c>
      <c r="C37" s="13" t="s">
        <v>193</v>
      </c>
      <c r="D37" s="16" t="s">
        <v>191</v>
      </c>
      <c r="E37" s="13" t="s">
        <v>242</v>
      </c>
      <c r="F37" s="13" t="s">
        <v>240</v>
      </c>
    </row>
    <row r="38" customFormat="false" ht="30" hidden="false" customHeight="true" outlineLevel="0" collapsed="false">
      <c r="A38" s="13" t="n">
        <v>3</v>
      </c>
      <c r="B38" s="13" t="s">
        <v>19</v>
      </c>
      <c r="C38" s="13" t="s">
        <v>195</v>
      </c>
      <c r="D38" s="15" t="s">
        <v>187</v>
      </c>
      <c r="E38" s="13" t="s">
        <v>231</v>
      </c>
      <c r="F38" s="13" t="s">
        <v>240</v>
      </c>
    </row>
    <row r="39" customFormat="false" ht="30" hidden="false" customHeight="true" outlineLevel="0" collapsed="false">
      <c r="A39" s="13" t="n">
        <v>3</v>
      </c>
      <c r="B39" s="13" t="s">
        <v>19</v>
      </c>
      <c r="C39" s="13" t="s">
        <v>197</v>
      </c>
      <c r="D39" s="16" t="s">
        <v>191</v>
      </c>
      <c r="E39" s="13" t="s">
        <v>233</v>
      </c>
      <c r="F39" s="13" t="s">
        <v>240</v>
      </c>
    </row>
    <row r="40" customFormat="false" ht="30" hidden="false" customHeight="true" outlineLevel="0" collapsed="false">
      <c r="A40" s="13" t="n">
        <v>3</v>
      </c>
      <c r="B40" s="13" t="s">
        <v>19</v>
      </c>
      <c r="C40" s="13" t="s">
        <v>199</v>
      </c>
      <c r="D40" s="15" t="s">
        <v>187</v>
      </c>
      <c r="E40" s="13" t="s">
        <v>243</v>
      </c>
      <c r="F40" s="13" t="s">
        <v>240</v>
      </c>
    </row>
    <row r="41" customFormat="false" ht="30" hidden="false" customHeight="true" outlineLevel="0" collapsed="false">
      <c r="A41" s="13" t="n">
        <v>3</v>
      </c>
      <c r="B41" s="13" t="s">
        <v>19</v>
      </c>
      <c r="C41" s="13" t="s">
        <v>201</v>
      </c>
      <c r="D41" s="16" t="s">
        <v>191</v>
      </c>
      <c r="E41" s="13" t="s">
        <v>244</v>
      </c>
      <c r="F41" s="13" t="s">
        <v>240</v>
      </c>
    </row>
    <row r="42" customFormat="false" ht="30" hidden="false" customHeight="true" outlineLevel="0" collapsed="false">
      <c r="A42" s="13" t="n">
        <v>3</v>
      </c>
      <c r="B42" s="13" t="s">
        <v>19</v>
      </c>
      <c r="C42" s="13" t="s">
        <v>203</v>
      </c>
      <c r="D42" s="15" t="s">
        <v>187</v>
      </c>
      <c r="E42" s="13" t="s">
        <v>245</v>
      </c>
      <c r="F42" s="13" t="s">
        <v>240</v>
      </c>
    </row>
    <row r="43" customFormat="false" ht="30" hidden="false" customHeight="true" outlineLevel="0" collapsed="false">
      <c r="A43" s="13" t="n">
        <v>3</v>
      </c>
      <c r="B43" s="13" t="s">
        <v>19</v>
      </c>
      <c r="C43" s="13" t="s">
        <v>205</v>
      </c>
      <c r="D43" s="15" t="s">
        <v>187</v>
      </c>
      <c r="E43" s="13" t="s">
        <v>246</v>
      </c>
      <c r="F43" s="13" t="s">
        <v>240</v>
      </c>
    </row>
    <row r="44" customFormat="false" ht="30" hidden="false" customHeight="true" outlineLevel="0" collapsed="false">
      <c r="A44" s="13" t="n">
        <v>3</v>
      </c>
      <c r="B44" s="13" t="s">
        <v>19</v>
      </c>
      <c r="C44" s="13" t="s">
        <v>207</v>
      </c>
      <c r="D44" s="16" t="s">
        <v>191</v>
      </c>
      <c r="E44" s="13" t="s">
        <v>247</v>
      </c>
      <c r="F44" s="13" t="s">
        <v>240</v>
      </c>
    </row>
    <row r="45" customFormat="false" ht="30" hidden="false" customHeight="true" outlineLevel="0" collapsed="false">
      <c r="A45" s="13" t="n">
        <v>3</v>
      </c>
      <c r="B45" s="13" t="s">
        <v>19</v>
      </c>
      <c r="C45" s="13" t="s">
        <v>209</v>
      </c>
      <c r="D45" s="15" t="s">
        <v>187</v>
      </c>
      <c r="E45" s="13" t="s">
        <v>248</v>
      </c>
      <c r="F45" s="13" t="s">
        <v>240</v>
      </c>
    </row>
    <row r="46" customFormat="false" ht="30" hidden="false" customHeight="true" outlineLevel="0" collapsed="false">
      <c r="A46" s="13" t="n">
        <v>3</v>
      </c>
      <c r="B46" s="13" t="s">
        <v>19</v>
      </c>
      <c r="C46" s="13" t="s">
        <v>211</v>
      </c>
      <c r="D46" s="17" t="s">
        <v>212</v>
      </c>
      <c r="E46" s="13" t="s">
        <v>249</v>
      </c>
      <c r="F46" s="13" t="s">
        <v>240</v>
      </c>
    </row>
    <row r="47" customFormat="false" ht="30" hidden="false" customHeight="true" outlineLevel="0" collapsed="false">
      <c r="A47" s="13" t="n">
        <v>3</v>
      </c>
      <c r="B47" s="13" t="s">
        <v>19</v>
      </c>
      <c r="C47" s="13" t="s">
        <v>214</v>
      </c>
      <c r="D47" s="17" t="s">
        <v>212</v>
      </c>
      <c r="E47" s="13" t="s">
        <v>250</v>
      </c>
      <c r="F47" s="13" t="s">
        <v>240</v>
      </c>
    </row>
    <row r="48" customFormat="false" ht="30" hidden="false" customHeight="true" outlineLevel="0" collapsed="false">
      <c r="A48" s="13" t="n">
        <v>3</v>
      </c>
      <c r="B48" s="13" t="s">
        <v>19</v>
      </c>
      <c r="C48" s="13" t="s">
        <v>216</v>
      </c>
      <c r="D48" s="15" t="s">
        <v>187</v>
      </c>
      <c r="E48" s="13" t="s">
        <v>251</v>
      </c>
      <c r="F48" s="13" t="s">
        <v>240</v>
      </c>
    </row>
    <row r="49" customFormat="false" ht="30" hidden="false" customHeight="true" outlineLevel="0" collapsed="false">
      <c r="A49" s="13" t="n">
        <v>3</v>
      </c>
      <c r="B49" s="13" t="s">
        <v>19</v>
      </c>
      <c r="C49" s="13" t="s">
        <v>218</v>
      </c>
      <c r="D49" s="18" t="s">
        <v>225</v>
      </c>
      <c r="E49" s="13" t="s">
        <v>238</v>
      </c>
      <c r="F49" s="13" t="s">
        <v>240</v>
      </c>
    </row>
    <row r="50" customFormat="false" ht="30" hidden="false" customHeight="true" outlineLevel="0" collapsed="false">
      <c r="A50" s="13" t="n">
        <v>3</v>
      </c>
      <c r="B50" s="13" t="s">
        <v>19</v>
      </c>
      <c r="C50" s="13" t="s">
        <v>220</v>
      </c>
      <c r="D50" s="16" t="s">
        <v>191</v>
      </c>
      <c r="E50" s="13" t="s">
        <v>252</v>
      </c>
      <c r="F50" s="13" t="s">
        <v>240</v>
      </c>
    </row>
    <row r="51" customFormat="false" ht="30" hidden="false" customHeight="true" outlineLevel="0" collapsed="false">
      <c r="A51" s="14" t="n">
        <v>3</v>
      </c>
      <c r="B51" s="14" t="s">
        <v>19</v>
      </c>
      <c r="C51" s="14" t="s">
        <v>227</v>
      </c>
      <c r="D51" s="14" t="s">
        <v>228</v>
      </c>
      <c r="E51" s="14" t="s">
        <v>229</v>
      </c>
      <c r="F51" s="14" t="s">
        <v>230</v>
      </c>
    </row>
    <row r="52" customFormat="false" ht="30" hidden="false" customHeight="true" outlineLevel="0" collapsed="false">
      <c r="A52" s="14" t="n">
        <v>4</v>
      </c>
      <c r="B52" s="14" t="s">
        <v>21</v>
      </c>
      <c r="C52" s="14" t="s">
        <v>182</v>
      </c>
      <c r="D52" s="14" t="s">
        <v>183</v>
      </c>
      <c r="E52" s="14" t="s">
        <v>184</v>
      </c>
      <c r="F52" s="14" t="s">
        <v>185</v>
      </c>
    </row>
    <row r="53" customFormat="false" ht="30" hidden="false" customHeight="true" outlineLevel="0" collapsed="false">
      <c r="A53" s="13" t="n">
        <v>4</v>
      </c>
      <c r="B53" s="13" t="s">
        <v>21</v>
      </c>
      <c r="C53" s="13" t="s">
        <v>186</v>
      </c>
      <c r="D53" s="17" t="s">
        <v>212</v>
      </c>
      <c r="E53" s="13" t="s">
        <v>253</v>
      </c>
      <c r="F53" s="13" t="s">
        <v>254</v>
      </c>
    </row>
    <row r="54" customFormat="false" ht="30" hidden="false" customHeight="true" outlineLevel="0" collapsed="false">
      <c r="A54" s="13" t="n">
        <v>4</v>
      </c>
      <c r="B54" s="13" t="s">
        <v>21</v>
      </c>
      <c r="C54" s="13" t="s">
        <v>190</v>
      </c>
      <c r="D54" s="15" t="s">
        <v>187</v>
      </c>
      <c r="E54" s="13" t="s">
        <v>255</v>
      </c>
      <c r="F54" s="13" t="s">
        <v>254</v>
      </c>
    </row>
    <row r="55" customFormat="false" ht="30" hidden="false" customHeight="true" outlineLevel="0" collapsed="false">
      <c r="A55" s="13" t="n">
        <v>4</v>
      </c>
      <c r="B55" s="13" t="s">
        <v>21</v>
      </c>
      <c r="C55" s="13" t="s">
        <v>193</v>
      </c>
      <c r="D55" s="16" t="s">
        <v>191</v>
      </c>
      <c r="E55" s="13" t="s">
        <v>256</v>
      </c>
      <c r="F55" s="13" t="s">
        <v>254</v>
      </c>
    </row>
    <row r="56" customFormat="false" ht="30" hidden="false" customHeight="true" outlineLevel="0" collapsed="false">
      <c r="A56" s="13" t="n">
        <v>4</v>
      </c>
      <c r="B56" s="13" t="s">
        <v>21</v>
      </c>
      <c r="C56" s="13" t="s">
        <v>195</v>
      </c>
      <c r="D56" s="15" t="s">
        <v>187</v>
      </c>
      <c r="E56" s="13" t="s">
        <v>257</v>
      </c>
      <c r="F56" s="13" t="s">
        <v>254</v>
      </c>
    </row>
    <row r="57" customFormat="false" ht="30" hidden="false" customHeight="true" outlineLevel="0" collapsed="false">
      <c r="A57" s="13" t="n">
        <v>4</v>
      </c>
      <c r="B57" s="13" t="s">
        <v>21</v>
      </c>
      <c r="C57" s="13" t="s">
        <v>197</v>
      </c>
      <c r="D57" s="16" t="s">
        <v>191</v>
      </c>
      <c r="E57" s="13" t="s">
        <v>258</v>
      </c>
      <c r="F57" s="13" t="s">
        <v>254</v>
      </c>
    </row>
    <row r="58" customFormat="false" ht="30" hidden="false" customHeight="true" outlineLevel="0" collapsed="false">
      <c r="A58" s="13" t="n">
        <v>4</v>
      </c>
      <c r="B58" s="13" t="s">
        <v>21</v>
      </c>
      <c r="C58" s="13" t="s">
        <v>199</v>
      </c>
      <c r="D58" s="18" t="s">
        <v>225</v>
      </c>
      <c r="E58" s="13" t="s">
        <v>259</v>
      </c>
      <c r="F58" s="13" t="s">
        <v>254</v>
      </c>
    </row>
    <row r="59" customFormat="false" ht="30" hidden="false" customHeight="true" outlineLevel="0" collapsed="false">
      <c r="A59" s="14" t="n">
        <v>4</v>
      </c>
      <c r="B59" s="14" t="s">
        <v>21</v>
      </c>
      <c r="C59" s="14" t="s">
        <v>227</v>
      </c>
      <c r="D59" s="14" t="s">
        <v>228</v>
      </c>
      <c r="E59" s="14" t="s">
        <v>229</v>
      </c>
      <c r="F59" s="14" t="s">
        <v>230</v>
      </c>
    </row>
    <row r="60" customFormat="false" ht="30" hidden="false" customHeight="true" outlineLevel="0" collapsed="false">
      <c r="A60" s="14" t="n">
        <v>5</v>
      </c>
      <c r="B60" s="14" t="s">
        <v>23</v>
      </c>
      <c r="C60" s="14" t="s">
        <v>182</v>
      </c>
      <c r="D60" s="14" t="s">
        <v>183</v>
      </c>
      <c r="E60" s="14" t="s">
        <v>184</v>
      </c>
      <c r="F60" s="14" t="s">
        <v>185</v>
      </c>
    </row>
    <row r="61" customFormat="false" ht="30" hidden="false" customHeight="true" outlineLevel="0" collapsed="false">
      <c r="A61" s="13" t="n">
        <v>5</v>
      </c>
      <c r="B61" s="13" t="s">
        <v>23</v>
      </c>
      <c r="C61" s="13" t="s">
        <v>186</v>
      </c>
      <c r="D61" s="17" t="s">
        <v>212</v>
      </c>
      <c r="E61" s="13" t="s">
        <v>260</v>
      </c>
      <c r="F61" s="13" t="s">
        <v>261</v>
      </c>
    </row>
    <row r="62" customFormat="false" ht="30" hidden="false" customHeight="true" outlineLevel="0" collapsed="false">
      <c r="A62" s="13" t="n">
        <v>5</v>
      </c>
      <c r="B62" s="13" t="s">
        <v>23</v>
      </c>
      <c r="C62" s="13" t="s">
        <v>190</v>
      </c>
      <c r="D62" s="15" t="s">
        <v>187</v>
      </c>
      <c r="E62" s="13" t="s">
        <v>231</v>
      </c>
      <c r="F62" s="13" t="s">
        <v>261</v>
      </c>
    </row>
    <row r="63" customFormat="false" ht="30" hidden="false" customHeight="true" outlineLevel="0" collapsed="false">
      <c r="A63" s="13" t="n">
        <v>5</v>
      </c>
      <c r="B63" s="13" t="s">
        <v>23</v>
      </c>
      <c r="C63" s="13" t="s">
        <v>193</v>
      </c>
      <c r="D63" s="16" t="s">
        <v>191</v>
      </c>
      <c r="E63" s="13" t="s">
        <v>262</v>
      </c>
      <c r="F63" s="13" t="s">
        <v>261</v>
      </c>
    </row>
    <row r="64" customFormat="false" ht="30" hidden="false" customHeight="true" outlineLevel="0" collapsed="false">
      <c r="A64" s="13" t="n">
        <v>5</v>
      </c>
      <c r="B64" s="13" t="s">
        <v>23</v>
      </c>
      <c r="C64" s="13" t="s">
        <v>195</v>
      </c>
      <c r="D64" s="15" t="s">
        <v>187</v>
      </c>
      <c r="E64" s="13" t="s">
        <v>263</v>
      </c>
      <c r="F64" s="13" t="s">
        <v>261</v>
      </c>
    </row>
    <row r="65" customFormat="false" ht="30" hidden="false" customHeight="true" outlineLevel="0" collapsed="false">
      <c r="A65" s="13" t="n">
        <v>5</v>
      </c>
      <c r="B65" s="13" t="s">
        <v>23</v>
      </c>
      <c r="C65" s="13" t="s">
        <v>197</v>
      </c>
      <c r="D65" s="16" t="s">
        <v>191</v>
      </c>
      <c r="E65" s="13" t="s">
        <v>264</v>
      </c>
      <c r="F65" s="13" t="s">
        <v>261</v>
      </c>
    </row>
    <row r="66" customFormat="false" ht="30" hidden="false" customHeight="true" outlineLevel="0" collapsed="false">
      <c r="A66" s="13" t="n">
        <v>5</v>
      </c>
      <c r="B66" s="13" t="s">
        <v>23</v>
      </c>
      <c r="C66" s="13" t="s">
        <v>199</v>
      </c>
      <c r="D66" s="15" t="s">
        <v>187</v>
      </c>
      <c r="E66" s="13" t="s">
        <v>265</v>
      </c>
      <c r="F66" s="13" t="s">
        <v>261</v>
      </c>
    </row>
    <row r="67" customFormat="false" ht="30" hidden="false" customHeight="true" outlineLevel="0" collapsed="false">
      <c r="A67" s="13" t="n">
        <v>5</v>
      </c>
      <c r="B67" s="13" t="s">
        <v>23</v>
      </c>
      <c r="C67" s="13" t="s">
        <v>201</v>
      </c>
      <c r="D67" s="17" t="s">
        <v>212</v>
      </c>
      <c r="E67" s="13" t="s">
        <v>266</v>
      </c>
      <c r="F67" s="13" t="s">
        <v>261</v>
      </c>
    </row>
    <row r="68" customFormat="false" ht="30" hidden="false" customHeight="true" outlineLevel="0" collapsed="false">
      <c r="A68" s="13" t="n">
        <v>5</v>
      </c>
      <c r="B68" s="13" t="s">
        <v>23</v>
      </c>
      <c r="C68" s="13" t="s">
        <v>203</v>
      </c>
      <c r="D68" s="18" t="s">
        <v>225</v>
      </c>
      <c r="E68" s="13" t="s">
        <v>267</v>
      </c>
      <c r="F68" s="13" t="s">
        <v>261</v>
      </c>
    </row>
    <row r="69" customFormat="false" ht="30" hidden="false" customHeight="true" outlineLevel="0" collapsed="false">
      <c r="A69" s="14" t="n">
        <v>5</v>
      </c>
      <c r="B69" s="14" t="s">
        <v>23</v>
      </c>
      <c r="C69" s="14" t="s">
        <v>227</v>
      </c>
      <c r="D69" s="14" t="s">
        <v>228</v>
      </c>
      <c r="E69" s="14" t="s">
        <v>229</v>
      </c>
      <c r="F69" s="14" t="s">
        <v>230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2026-10-13T20:07:23Z</dcterms:modified>
  <cp:revision>1</cp:revision>
  <dc:subject/>
  <dc:title/>
</cp:coreProperties>
</file>